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tel\Downloads\"/>
    </mc:Choice>
  </mc:AlternateContent>
  <xr:revisionPtr revIDLastSave="0" documentId="8_{D9DC4AB0-BABF-4A6A-91A3-E376C893F56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Overview" sheetId="1" r:id="rId1"/>
    <sheet name="Round 1 Decision for Analysis" sheetId="2" r:id="rId2"/>
    <sheet name="Attendance" sheetId="5" state="hidden" r:id="rId3"/>
    <sheet name="Round 3 Awards" sheetId="6" state="hidden" r:id="rId4"/>
  </sheets>
  <calcPr calcId="181029"/>
</workbook>
</file>

<file path=xl/calcChain.xml><?xml version="1.0" encoding="utf-8"?>
<calcChain xmlns="http://schemas.openxmlformats.org/spreadsheetml/2006/main">
  <c r="E8" i="1" l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<sst xmlns="http://schemas.openxmlformats.org/spreadsheetml/2006/main" count="672" uniqueCount="549">
  <si>
    <t>2023-2024</t>
  </si>
  <si>
    <t>2024-2025</t>
  </si>
  <si>
    <t>Comparison</t>
  </si>
  <si>
    <t>Percentage</t>
  </si>
  <si>
    <t># of organizations that applied funding</t>
  </si>
  <si>
    <t>Tentative Round Budget</t>
  </si>
  <si>
    <t>Total $ requested by organizations</t>
  </si>
  <si>
    <t>Total $ awarded</t>
  </si>
  <si>
    <t>Target Award Average per organization</t>
  </si>
  <si>
    <t>Average $ awarded per organization</t>
  </si>
  <si>
    <t>Target ratio (awarded:requested)</t>
  </si>
  <si>
    <t>Organization Name</t>
  </si>
  <si>
    <t>Organization Category</t>
  </si>
  <si>
    <t>Organization Age</t>
  </si>
  <si>
    <t>Number of Active Members</t>
  </si>
  <si>
    <t>Size of Panlist</t>
  </si>
  <si>
    <t xml:space="preserve">Is your organization a Dwight Hall group? (member or provisional, but not outreach group) </t>
  </si>
  <si>
    <t>Current Funds Available</t>
  </si>
  <si>
    <t>Estimated Annual Income for 2024-2025</t>
  </si>
  <si>
    <t>Other Funding Sources</t>
  </si>
  <si>
    <t>[Comment] Other Funding Sources</t>
  </si>
  <si>
    <t>Last Round $</t>
  </si>
  <si>
    <t>Funding Ratio</t>
  </si>
  <si>
    <t>Copies Expense Sheets</t>
  </si>
  <si>
    <t>Expense Sheet</t>
  </si>
  <si>
    <t>AFROTC Undergraduate Association</t>
  </si>
  <si>
    <t>Other</t>
  </si>
  <si>
    <t>2-5 Years</t>
  </si>
  <si>
    <t>No</t>
  </si>
  <si>
    <t>Donations</t>
  </si>
  <si>
    <t>Politics, Civic Engagement, Debate</t>
  </si>
  <si>
    <t>Other (If selected, please elaborate below)</t>
  </si>
  <si>
    <t>Allan Bloom Forum</t>
  </si>
  <si>
    <t>10+ Years</t>
  </si>
  <si>
    <t>None</t>
  </si>
  <si>
    <t>Alliance for Dance at Yale College</t>
  </si>
  <si>
    <t>Alzheimer's Buddies</t>
  </si>
  <si>
    <t>Yes</t>
  </si>
  <si>
    <t>American Indian Science and Engineering Society</t>
  </si>
  <si>
    <t>American Medical Women's Association at Yale – an Undergraduate Organization</t>
  </si>
  <si>
    <t>American Red Cross at Yale</t>
  </si>
  <si>
    <t>American Sign Language at Yale--An Undergraduate Organization</t>
  </si>
  <si>
    <t>Amoriem Labs: Undergraduate Game Developers</t>
  </si>
  <si>
    <t>An Cumann Éireannach</t>
  </si>
  <si>
    <t>Ancient Chinese Traditions Club</t>
  </si>
  <si>
    <t>Arab Students Association</t>
  </si>
  <si>
    <t>Asian American Collective of Theatermakers</t>
  </si>
  <si>
    <t>Asian American Students Alliance</t>
  </si>
  <si>
    <t>Asian Recipes at Yale - an Undergraduate Organization</t>
  </si>
  <si>
    <t>Asterisk* Journal of Art and Art History</t>
  </si>
  <si>
    <t>Ballet Folkl├│rico Mexicano de Yale - Undergraduate Organization</t>
  </si>
  <si>
    <t>Berkeley College Orchestra</t>
  </si>
  <si>
    <t>Black Church at Yale</t>
  </si>
  <si>
    <t>Black Pre-Health Students at Yale - an Undergraduate Organization</t>
  </si>
  <si>
    <t>Black Student Alliance at Yale</t>
  </si>
  <si>
    <t>Brazil Club at Yale - a Student Organization</t>
  </si>
  <si>
    <t>Bridges ESL</t>
  </si>
  <si>
    <t>BRINK! A Review of Books</t>
  </si>
  <si>
    <t>Buena Vista Breakfast Club</t>
  </si>
  <si>
    <t>Bulldogs Racing</t>
  </si>
  <si>
    <t>Cadence of Yale - Undergraduate A Cappella</t>
  </si>
  <si>
    <t>Camp Kesem Yale, an Undergraduate Organization</t>
  </si>
  <si>
    <t>Canadian Students at Yale</t>
  </si>
  <si>
    <t>Challah for Hunger</t>
  </si>
  <si>
    <t>China Hands Magazine</t>
  </si>
  <si>
    <t>Chinese American Students Association</t>
  </si>
  <si>
    <t>Chinese Language and Career Initiative</t>
  </si>
  <si>
    <t>Chinese Undergraduate Students at Yale</t>
  </si>
  <si>
    <t>Choose Life at Yale - an Undergraduate Organization</t>
  </si>
  <si>
    <t>Claro Que Sí: Yale's Latine Undergraduate Magazine</t>
  </si>
  <si>
    <t>Club Colombia</t>
  </si>
  <si>
    <t>Code Haven</t>
  </si>
  <si>
    <t>College Curlers at Yale</t>
  </si>
  <si>
    <t>Community Health Educators</t>
  </si>
  <si>
    <t>Contigo Per├║</t>
  </si>
  <si>
    <t>Cuban-American Undergraduate Students Association</t>
  </si>
  <si>
    <t>Davenport Pops Orchestra</t>
  </si>
  <si>
    <t>De Colores</t>
  </si>
  <si>
    <t>Demos</t>
  </si>
  <si>
    <t>Despierta Boricua, the Puerto Rican Student Organization at Yale</t>
  </si>
  <si>
    <t>Desta</t>
  </si>
  <si>
    <t>Dimensions</t>
  </si>
  <si>
    <t>Disability Empowerment For Yale: An Undergraduate Advocacy Group</t>
  </si>
  <si>
    <t>Doox of Yale</t>
  </si>
  <si>
    <t>Dwight Hall Socially Responsible Investment Fund</t>
  </si>
  <si>
    <t>Dzana Dance</t>
  </si>
  <si>
    <t>Ecuatorianos y Amigos Unidos</t>
  </si>
  <si>
    <t>Environmental Education Collaborative</t>
  </si>
  <si>
    <t>European Horizons</t>
  </si>
  <si>
    <t>Federalist Party, The</t>
  </si>
  <si>
    <t>Females for Finance</t>
  </si>
  <si>
    <t>FGLI Pre-Health Community</t>
  </si>
  <si>
    <t>Film and Fine Foods Club</t>
  </si>
  <si>
    <t>FIRST at Yale - A Student Organization</t>
  </si>
  <si>
    <t>G.K. Chesterton Society</t>
  </si>
  <si>
    <t>Geopolitics of Technology Initiative</t>
  </si>
  <si>
    <t>Girls on the Run</t>
  </si>
  <si>
    <t>GREEN</t>
  </si>
  <si>
    <t>Guild of Bookmakers</t>
  </si>
  <si>
    <t>Harmony Healing</t>
  </si>
  <si>
    <t>Hellenic Society</t>
  </si>
  <si>
    <t>Hippo Literary and Arts Magazine</t>
  </si>
  <si>
    <t>Hungarian Association</t>
  </si>
  <si>
    <t>Hunger and Homelessness Action Project</t>
  </si>
  <si>
    <t>India at Yale - An Undergraduate Organization</t>
  </si>
  <si>
    <t>Ink &amp; Vellum: Undergraduate Architecture Society</t>
  </si>
  <si>
    <t>Japanese American Students Union</t>
  </si>
  <si>
    <t>Journal of Literary Translation</t>
  </si>
  <si>
    <t>Junior Class Council</t>
  </si>
  <si>
    <t>Kasama: The Filipino Club at Yale - An Undergraduate Organization</t>
  </si>
  <si>
    <t>Korean American Students at Yale</t>
  </si>
  <si>
    <t>La Unidad Latina, Lambda Upsilon Lambda Fraternity, Inc.</t>
  </si>
  <si>
    <t>Latina Women at Yale</t>
  </si>
  <si>
    <t>Light and Truth</t>
  </si>
  <si>
    <t>Living Water at Yale – an Undergraduate Organization</t>
  </si>
  <si>
    <t>Low Strung</t>
  </si>
  <si>
    <t>Magevet</t>
  </si>
  <si>
    <t>Maison at Yale: An Undergraduate Organization</t>
  </si>
  <si>
    <t>Malaysian and Singaporean Association</t>
  </si>
  <si>
    <t>Mariachi Lux Et Veritas de Yale - A Student Organization</t>
  </si>
  <si>
    <t>Medieval Literature Exploration Club</t>
  </si>
  <si>
    <t>MedSci</t>
  </si>
  <si>
    <t>Migration Alliance at Yale - An Undergraduate Organization</t>
  </si>
  <si>
    <t>MonstRAASity</t>
  </si>
  <si>
    <t>Native and Indigenous Student Association at Yale — a Student Organization</t>
  </si>
  <si>
    <t>Nepali Students Society at Yale</t>
  </si>
  <si>
    <t>New Haven Resource for Essay and Application College Help</t>
  </si>
  <si>
    <t>New Haven Urban Debate League</t>
  </si>
  <si>
    <t>Outdoor Climbing at Yale: A Student Organization</t>
  </si>
  <si>
    <t>Pacific Islander Student Association at Yale</t>
  </si>
  <si>
    <t>Party of the Left</t>
  </si>
  <si>
    <t>Persian Students Association at Yale</t>
  </si>
  <si>
    <t>Pitches and Tones A Cappella</t>
  </si>
  <si>
    <t>Polish Society at Yale - an Undergraduate Organization</t>
  </si>
  <si>
    <t>Proof of the Pudding</t>
  </si>
  <si>
    <t>Red Lantern</t>
  </si>
  <si>
    <t>Redhot &amp; Blue</t>
  </si>
  <si>
    <t>Rhythmic Blue</t>
  </si>
  <si>
    <t>Rural Students Alliance at Yale</t>
  </si>
  <si>
    <t>Sabrosura: Yale's Undergraduate Premier Latin Dance Team</t>
  </si>
  <si>
    <t>Salus Populi Foundation at Yale - an Undergraduate Organization</t>
  </si>
  <si>
    <t>SheCode</t>
  </si>
  <si>
    <t>Sikhs at Yale - a Student Association</t>
  </si>
  <si>
    <t>Sir Thomas More Lecture Series</t>
  </si>
  <si>
    <t>Smart Woman Securities</t>
  </si>
  <si>
    <t>Society of Hispanic Professional Engineers - SHPE Yale Student Chapter</t>
  </si>
  <si>
    <t>South Asian Society</t>
  </si>
  <si>
    <t>Southeast Asian Movement at Yale - A Student Organization</t>
  </si>
  <si>
    <t>Special Needs Undergraduate Swim Lessons</t>
  </si>
  <si>
    <t>Student Association of Thais at Yale</t>
  </si>
  <si>
    <t>Sube: Yale Latinx Pre-Professional Student Association</t>
  </si>
  <si>
    <t>Supporting Student-Athletes at Yale - an Undergraduate Organization</t>
  </si>
  <si>
    <t>Symposia--A Yale Undergraduate Research Journal</t>
  </si>
  <si>
    <t>Taiwanese American Society</t>
  </si>
  <si>
    <t>Taps at Yale - A Student Organization</t>
  </si>
  <si>
    <t>The Cinemat</t>
  </si>
  <si>
    <t>The Conservative Party</t>
  </si>
  <si>
    <t>The Control Group</t>
  </si>
  <si>
    <t>The Cortex Collective</t>
  </si>
  <si>
    <t>The Elmseed Enterprise Fund</t>
  </si>
  <si>
    <t>The Fifth Humour</t>
  </si>
  <si>
    <t>The Good Show</t>
  </si>
  <si>
    <t>The Independent Party</t>
  </si>
  <si>
    <t>The Logos</t>
  </si>
  <si>
    <t>The Odd Ducks</t>
  </si>
  <si>
    <t>The Progressive Party</t>
  </si>
  <si>
    <t>The Spizzwinks of Yale University, Inc.</t>
  </si>
  <si>
    <t>The Urban Philanthropic Fund</t>
  </si>
  <si>
    <t>The Viola Question</t>
  </si>
  <si>
    <t>The Women's Network</t>
  </si>
  <si>
    <t>The Yale Historical Review: An Undergraduate Publication</t>
  </si>
  <si>
    <t>The Yale Journal of Human Rights: An Undergraduate Publication</t>
  </si>
  <si>
    <t>The Yale Politic – an Undergraduate Organization</t>
  </si>
  <si>
    <t>The Yale Record - An Undergraduate Publication</t>
  </si>
  <si>
    <t>Thomistic Institute at Yale — Undergraduate Chapter</t>
  </si>
  <si>
    <t>Tommy Fund for Childhood Cancer</t>
  </si>
  <si>
    <t>Trans@Yale: An Undergraduate Organization</t>
  </si>
  <si>
    <t>United Church of Westville</t>
  </si>
  <si>
    <t>Urban Improvement Corps</t>
  </si>
  <si>
    <t>User Experience Society</t>
  </si>
  <si>
    <t>Vietnamese Student Association</t>
  </si>
  <si>
    <t>Walden Peer Counseling</t>
  </si>
  <si>
    <t>Women's Leadership Initiative at Yale - an Undergraduate Organization</t>
  </si>
  <si>
    <t>WORD: Performance Poetry</t>
  </si>
  <si>
    <t>Y Pop-UP</t>
  </si>
  <si>
    <t>Y2Y New Haven</t>
  </si>
  <si>
    <t>Yale African Students Association</t>
  </si>
  <si>
    <t>Yale Albanian Student Society</t>
  </si>
  <si>
    <t>Yale Anti-Gravity Society - An Undergraduate Organization</t>
  </si>
  <si>
    <t>Yale Artists Cabaret: An Undergraduate Organization</t>
  </si>
  <si>
    <t>Yale Bengali Student Association</t>
  </si>
  <si>
    <t>Yale Biomedical Engineering Student Society</t>
  </si>
  <si>
    <t>Yale Black Women's Coalition - An Undergraduate Organization</t>
  </si>
  <si>
    <t>Yale Brazilian Music Collective - a Student Organization</t>
  </si>
  <si>
    <t>Yale Breakers - an Undergraduate Organization</t>
  </si>
  <si>
    <t>Yale Buddhist Student Community</t>
  </si>
  <si>
    <t>Yale Children's Theater - An Undergraduate Organization</t>
  </si>
  <si>
    <t>Yale College Anime Society</t>
  </si>
  <si>
    <t>Yale College Chess Club</t>
  </si>
  <si>
    <t>Yale Computer Society: Students Promoting Computer Science and Engineering at Yale</t>
  </si>
  <si>
    <t>Yale Danceworks - An Undergraduate Organization</t>
  </si>
  <si>
    <t>Yale Debate Association - An Undergraduate Organization</t>
  </si>
  <si>
    <t>Yale Dhvani - a Student Group for Classical Indian Music</t>
  </si>
  <si>
    <t>Yale Discolf! Undergraduate Group</t>
  </si>
  <si>
    <t>Yale Dominican Student Association</t>
  </si>
  <si>
    <t>Yale e-NABLE - Student Chapter</t>
  </si>
  <si>
    <t>Yale Ecology and Evolutionary Biology Undergraduate Group</t>
  </si>
  <si>
    <t>Yale Emergency Medical Services – an Undergraduate Organization</t>
  </si>
  <si>
    <t>Yale Ethiopian and Eritrean Students Association</t>
  </si>
  <si>
    <t>Yale Funbotics - an Undergraduate Organization</t>
  </si>
  <si>
    <t>Yale Helix Group: A Student Organization</t>
  </si>
  <si>
    <t>Yale Hindu Students Organization</t>
  </si>
  <si>
    <t>Yale International Genetically Engineered Machine Team - An Undergraduate Organization</t>
  </si>
  <si>
    <t>Yale Interpretation Network–a Student Organization</t>
  </si>
  <si>
    <t>Yale Math Competition: An Undergraduate Organization</t>
  </si>
  <si>
    <t>Yale Middle Eastern North African Student Association</t>
  </si>
  <si>
    <t>Yale Modern Dance Collective - A Student Organization</t>
  </si>
  <si>
    <t>Yale Muslim Students Association</t>
  </si>
  <si>
    <t>Yale Neuroscience Education Undergraduate Research Organization</t>
  </si>
  <si>
    <t>Yale Nigerian Students Association</t>
  </si>
  <si>
    <t>Yale NROTC Undergraduate Association</t>
  </si>
  <si>
    <t>Yale Outdoors</t>
  </si>
  <si>
    <t>Yale Policy Institute</t>
  </si>
  <si>
    <t>Yale Polo — An Undergraduate Association</t>
  </si>
  <si>
    <t>Yale Public Health Coalition - an Undergraduate Organization</t>
  </si>
  <si>
    <t>Yale Queer Student Alliance</t>
  </si>
  <si>
    <t>Yale Rangeela - An Undergraduate Organization</t>
  </si>
  <si>
    <t>Yale Scientific Magazine - An Undergraduate Publication</t>
  </si>
  <si>
    <t>Yale Shakespeare Club</t>
  </si>
  <si>
    <t>Yale Society of Physics Students</t>
  </si>
  <si>
    <t>Yale Society of Women Engineers</t>
  </si>
  <si>
    <t>Yale Student Academic Competitions</t>
  </si>
  <si>
    <t>Yale Student Arabic Orchestra</t>
  </si>
  <si>
    <t>Yale Student Architectural Heritage Society</t>
  </si>
  <si>
    <t>Yale Student Branch of the IEEE</t>
  </si>
  <si>
    <t>Yale Student Chapter of the American Institute of Chemical Engineers</t>
  </si>
  <si>
    <t>Yale Student Environmental Coalition</t>
  </si>
  <si>
    <t>Yale Student Lettuce Club</t>
  </si>
  <si>
    <t>Yale Student Magic: the Gathering Club</t>
  </si>
  <si>
    <t>Yale Student Marimba Band</t>
  </si>
  <si>
    <t>Yale Student Mental Health Association</t>
  </si>
  <si>
    <t>Yale Student Puzzle Club</t>
  </si>
  <si>
    <t>Yale Student U.F.O. Society</t>
  </si>
  <si>
    <t>Yale Students for RCV</t>
  </si>
  <si>
    <t>Yale Ultramarathon Student Organization</t>
  </si>
  <si>
    <t>Yale Undergraduate Actuarial Science Association</t>
  </si>
  <si>
    <t>Yale Undergraduate Aerospace Association</t>
  </si>
  <si>
    <t>Yale Undergraduate Ballet Company</t>
  </si>
  <si>
    <t>Yale Undergraduate Barbecue Club</t>
  </si>
  <si>
    <t>Yale Undergraduate Black Pre-Law Association</t>
  </si>
  <si>
    <t>Yale Undergraduate Brief Writers</t>
  </si>
  <si>
    <t>Yale Undergraduate Capital Partners</t>
  </si>
  <si>
    <t>Yale Undergraduate Chemical Engineering Design Society</t>
  </si>
  <si>
    <t>Yale Undergraduate Consulting Group</t>
  </si>
  <si>
    <t>Yale Undergraduate Dungeons and Dragons Organization</t>
  </si>
  <si>
    <t>Yale Undergraduate Global Health Review</t>
  </si>
  <si>
    <t>Yale Undergraduate Hedge Fund Association</t>
  </si>
  <si>
    <t>Yale Undergraduate Hispanic Pre-Law Association</t>
  </si>
  <si>
    <t>Yale Undergraduate Jashan Bhangra</t>
  </si>
  <si>
    <t>Yale Undergraduate Kalaa</t>
  </si>
  <si>
    <t>Yale Undergraduate Law Journal</t>
  </si>
  <si>
    <t>Yale Undergraduate Learn to Skate Program</t>
  </si>
  <si>
    <t>Yale Undergraduate Legal Aid Association</t>
  </si>
  <si>
    <t>Yale Undergraduate Looking for Friends</t>
  </si>
  <si>
    <t>Yale Undergraduate Mathematics Society</t>
  </si>
  <si>
    <t>Yale Undergraduate Moot Court Team</t>
  </si>
  <si>
    <t>Yale Undergraduate Net Impact</t>
  </si>
  <si>
    <t>Yale Undergraduate Photography Society</t>
  </si>
  <si>
    <t>Yale Undergraduate Piano Collective</t>
  </si>
  <si>
    <t>Yale Undergraduate Quantum Computing</t>
  </si>
  <si>
    <t>Yale Undergraduate Rec Tennis</t>
  </si>
  <si>
    <t>Yale Undergraduate Research Association</t>
  </si>
  <si>
    <t>Yale Undergraduate Screenwriting Syndicate</t>
  </si>
  <si>
    <t>Yale Undergraduate Society of Ethics</t>
  </si>
  <si>
    <t>Yale Undergraduate Sports Analytics</t>
  </si>
  <si>
    <t>Yale Undergraduate Student Dairy Association</t>
  </si>
  <si>
    <t>Yale Undergraduate Tabletop Association</t>
  </si>
  <si>
    <t>Yale Undergraduate Trading Club</t>
  </si>
  <si>
    <t>Yale Undergraduate Veterans Society</t>
  </si>
  <si>
    <t>Yale Undergraduate Virtual Reality and Emerging Technologies Club</t>
  </si>
  <si>
    <t>Yale Undergraduates at Connecticut Hospice</t>
  </si>
  <si>
    <t>Yale Undergraduates for UNICEF</t>
  </si>
  <si>
    <t>Yale Women's Athletic Council: An Undergraduate Empowerment Group</t>
  </si>
  <si>
    <t>YaleBleeds – A Student Movement</t>
  </si>
  <si>
    <t>Yalies for Pakistan</t>
  </si>
  <si>
    <t>Young Israel House at Yale</t>
  </si>
  <si>
    <t>Eli Whitney Student Society</t>
  </si>
  <si>
    <t>Ukraine House at Yale – an Undergraduate Organization</t>
  </si>
  <si>
    <t>Mecha de Yale -- a Yale Student Organization</t>
  </si>
  <si>
    <t>Yale College Democrats</t>
  </si>
  <si>
    <t>The Yale Votes Initiative - A Student Organization</t>
  </si>
  <si>
    <t>Latter-day Saint Student Association</t>
  </si>
  <si>
    <t>Bulgarian Society</t>
  </si>
  <si>
    <t>National Society of Black Engineers</t>
  </si>
  <si>
    <t>Students for Carbon Dividends</t>
  </si>
  <si>
    <t>Amount Requested</t>
  </si>
  <si>
    <t>Sri Lankans at Yale (SLAY)</t>
  </si>
  <si>
    <t>Tangled Up In Blue</t>
  </si>
  <si>
    <t>Yale Undergraduate Gospel Choir</t>
  </si>
  <si>
    <t>The Tory Party</t>
  </si>
  <si>
    <t>The Moderate Party</t>
  </si>
  <si>
    <t xml:space="preserve">Yale Lawtinas </t>
  </si>
  <si>
    <t>Yale Math Competitions</t>
  </si>
  <si>
    <t>Yale Pitches and Tones A Capella</t>
  </si>
  <si>
    <t>Yale Undergraduate Law Journal (YULJ)</t>
  </si>
  <si>
    <t>Persian Students Association and Public Health Coalition</t>
  </si>
  <si>
    <t>Yale South Asian Society</t>
  </si>
  <si>
    <t>Yale Modern Dance Collective</t>
  </si>
  <si>
    <t>Partners in Health Engage @ Yale  - a student organization</t>
  </si>
  <si>
    <t xml:space="preserve">American Institute of Chemical Engineers </t>
  </si>
  <si>
    <t xml:space="preserve">Turkish Student’s Association </t>
  </si>
  <si>
    <t>International Students’ Organization</t>
  </si>
  <si>
    <t>Yale Undergraduate Learn To Skate Program</t>
  </si>
  <si>
    <t>Yale Computer Society (y/cs)</t>
  </si>
  <si>
    <t>Cinemat</t>
  </si>
  <si>
    <t>Living Water at Yale</t>
  </si>
  <si>
    <t>MathCounts Outreach</t>
  </si>
  <si>
    <t>Indigenous People's of Oceania (Pacific Islander Student Association at Yale)</t>
  </si>
  <si>
    <t>Alzheimer’s Buddies</t>
  </si>
  <si>
    <t>The Looking Glass Project</t>
  </si>
  <si>
    <t>Global Strategy Consulting Group</t>
  </si>
  <si>
    <t>Ink and Vellum</t>
  </si>
  <si>
    <t>YaleBleeds - A Student Movement</t>
  </si>
  <si>
    <t>Yale Astronomical &amp; Space Student Society</t>
  </si>
  <si>
    <t>Choose Life at Yale</t>
  </si>
  <si>
    <t>Black Pre-Health Association at Yale</t>
  </si>
  <si>
    <t xml:space="preserve">The Urban Philanthropic Fund </t>
  </si>
  <si>
    <t>Ballet Folklórico Mexicano de Yale</t>
  </si>
  <si>
    <t xml:space="preserve">Walden Peer Counseling </t>
  </si>
  <si>
    <t>Yale Record</t>
  </si>
  <si>
    <t>Yale Institute for Diplomacy, Development, and Security - An Undergraduate Organization</t>
  </si>
  <si>
    <t>The Federalist Party</t>
  </si>
  <si>
    <t>Alan Bloom Forum</t>
  </si>
  <si>
    <t xml:space="preserve">Vida Volunteer </t>
  </si>
  <si>
    <t xml:space="preserve">RTA Publications, Inc. </t>
  </si>
  <si>
    <t>The Yale Logos</t>
  </si>
  <si>
    <t>Alexander Hamilton Society: Yale Chapter</t>
  </si>
  <si>
    <t>Oye Spoken Word</t>
  </si>
  <si>
    <t>Yale Undergraduate Coalition for Advocacy and Innovation</t>
  </si>
  <si>
    <t>The Yale Politic — an Undergraduate Organization</t>
  </si>
  <si>
    <t>Yale Kalaa</t>
  </si>
  <si>
    <t>The Purple Crayon</t>
  </si>
  <si>
    <t>India@Yale</t>
  </si>
  <si>
    <t>Yale African Innovation Symposium (YAIS)</t>
  </si>
  <si>
    <t>Casa de Bailes</t>
  </si>
  <si>
    <t>Environmental Education Collaborative (EECO)</t>
  </si>
  <si>
    <t>Women in Chemistry</t>
  </si>
  <si>
    <t xml:space="preserve">Yale Student Energy Association </t>
  </si>
  <si>
    <t xml:space="preserve">AFROTC Undergraduate Organization </t>
  </si>
  <si>
    <t>The Davenport Pops Orchestra</t>
  </si>
  <si>
    <t>Yale Artists Cabaret</t>
  </si>
  <si>
    <t>Japanese American Student Union (JASU)</t>
  </si>
  <si>
    <t>RTA Publications, Inc</t>
  </si>
  <si>
    <t xml:space="preserve">Arab Student Association </t>
  </si>
  <si>
    <t>Yale Funbotics</t>
  </si>
  <si>
    <t xml:space="preserve">Yale Birding Student Association </t>
  </si>
  <si>
    <t>Yale National Society of Black Engineers</t>
  </si>
  <si>
    <t xml:space="preserve">Yale Undergraduate Moot Court </t>
  </si>
  <si>
    <t>HAPPY</t>
  </si>
  <si>
    <t xml:space="preserve">Outdoor Climbing At Yale </t>
  </si>
  <si>
    <t>Yale Women’s Athletic Council (YWAC)</t>
  </si>
  <si>
    <t>The Coily Curly Office</t>
  </si>
  <si>
    <t>YWAC (Yale Women’s Athletic Council)</t>
  </si>
  <si>
    <t>Jumpin’ at Yale - an Undergraduate Double Dutch team</t>
  </si>
  <si>
    <t>Yale Engineers Without Borders</t>
  </si>
  <si>
    <t>Migration Alliance At Yale - An Undergraduate Organization</t>
  </si>
  <si>
    <t>YUDI</t>
  </si>
  <si>
    <t xml:space="preserve">Dzana Dance </t>
  </si>
  <si>
    <t>CUSY (Chinese Undergraduates Students at Yale)</t>
  </si>
  <si>
    <t xml:space="preserve">American Red Cross at Yale </t>
  </si>
  <si>
    <t>Kasama</t>
  </si>
  <si>
    <t>Planned Parenthood Advocates @ Yale</t>
  </si>
  <si>
    <t>QuestBridge - a student organisation</t>
  </si>
  <si>
    <t>Yale Undergraduate Hedge Fund Association (YUHA)</t>
  </si>
  <si>
    <t>FIRST at Yale</t>
  </si>
  <si>
    <t>Yale Quantitative Financial Modeling</t>
  </si>
  <si>
    <t xml:space="preserve">Yale Ethiopian and Eritrean students association </t>
  </si>
  <si>
    <t>Women’s Leadership Initiative</t>
  </si>
  <si>
    <t>Supporting Student Athletes at Yale (SSAY)</t>
  </si>
  <si>
    <t>Yale Armenian Network</t>
  </si>
  <si>
    <t>Mecha de Yale</t>
  </si>
  <si>
    <t xml:space="preserve">Yale Undergraduate Sports Analytics </t>
  </si>
  <si>
    <t xml:space="preserve">An Cumann Éireannach Yale Irish society </t>
  </si>
  <si>
    <t>Urban Improvement Corps (UIC)</t>
  </si>
  <si>
    <t xml:space="preserve">Chinese American Student Association </t>
  </si>
  <si>
    <t xml:space="preserve">Yale Student Environmental Coalition </t>
  </si>
  <si>
    <t>YES - Yale Entrepreneurial Society</t>
  </si>
  <si>
    <t>YNEURO (Yale Neuroscience Education Undergraduate Research Organization)</t>
  </si>
  <si>
    <t>Yale Chess Club</t>
  </si>
  <si>
    <t>Environmentalists of Color (EOC)</t>
  </si>
  <si>
    <t>Cadence of Yale</t>
  </si>
  <si>
    <t>Y Pop-Up</t>
  </si>
  <si>
    <t>Yale Rotaract Club</t>
  </si>
  <si>
    <t>Yale Impact Capital Group</t>
  </si>
  <si>
    <t>Yale Rec Tennis</t>
  </si>
  <si>
    <t>Yale Undergraduate Photo Society</t>
  </si>
  <si>
    <t>Yale Pop Up</t>
  </si>
  <si>
    <t>Asterisk*</t>
  </si>
  <si>
    <t>The Yale Record</t>
  </si>
  <si>
    <t>The Journal of Literary Translation (JoLT)</t>
  </si>
  <si>
    <t>Rangeela</t>
  </si>
  <si>
    <t>Kasama: The Filipinix Club</t>
  </si>
  <si>
    <t>WORD Performance Poetry</t>
  </si>
  <si>
    <t>Yale Guild of Bookmakers</t>
  </si>
  <si>
    <t>Despierta Boricua: The Puerto Rican Student Group at Yale</t>
  </si>
  <si>
    <t>Society of Hispanic Professional Engineers (SHPE)</t>
  </si>
  <si>
    <t>Yale Undergraduate Jazz Collective</t>
  </si>
  <si>
    <t>Yale Photography Society</t>
  </si>
  <si>
    <t>Yale First-Gen and/or Low-Income Advocacy Movement (YFAM) - A Student Group</t>
  </si>
  <si>
    <t>Party Of The Left</t>
  </si>
  <si>
    <t>Students Advocating for Effective Harm Reduction (SAFEHR)</t>
  </si>
  <si>
    <t>Athletes In Action</t>
  </si>
  <si>
    <t xml:space="preserve">Yale Undergraduate Human Rights Journal </t>
  </si>
  <si>
    <t>Yale Ultramarathon Club</t>
  </si>
  <si>
    <t>Disability Empowerment for Yale, American Sign Language at Yale, Elm City Echo</t>
  </si>
  <si>
    <t>Southeast Asian Movement (SEAM)</t>
  </si>
  <si>
    <t>Yale First-Generation and/or Low-Income Advocacy Movement (YFAM)</t>
  </si>
  <si>
    <t>Yale Political Union</t>
  </si>
  <si>
    <t>The Yale Historical Review</t>
  </si>
  <si>
    <t xml:space="preserve">Yale Congolese Student Association </t>
  </si>
  <si>
    <t xml:space="preserve">The Yale Undergraduate Prison Project </t>
  </si>
  <si>
    <t xml:space="preserve">Yale Mexican Student Organization </t>
  </si>
  <si>
    <t>Latter-day Saint Student Assocoation</t>
  </si>
  <si>
    <t xml:space="preserve">Yale First-Gen and/or Low-Income Advocacy Movement (YFAM) - A Student Group </t>
  </si>
  <si>
    <t>Yaledancers</t>
  </si>
  <si>
    <t>Sabrosura- Yale's Premier Latin Dance Team</t>
  </si>
  <si>
    <t>The New Blue of Yale</t>
  </si>
  <si>
    <t>YALE AFRICAN STUDENTS ASSOCIATION</t>
  </si>
  <si>
    <t xml:space="preserve">Yale Undergraduate Aerospace Association </t>
  </si>
  <si>
    <t>Yale Global Health Review</t>
  </si>
  <si>
    <t>Disability Empowerment for Yale</t>
  </si>
  <si>
    <t>La Unidad Latina</t>
  </si>
  <si>
    <t>Lambda Upsilon Lambda</t>
  </si>
  <si>
    <t>American Sign Language at Yale</t>
  </si>
  <si>
    <t>Elm City Echo</t>
  </si>
  <si>
    <t>Yale Mock Trial Association</t>
  </si>
  <si>
    <t xml:space="preserve">Yale Congolese Students Association </t>
  </si>
  <si>
    <t xml:space="preserve">Southeast Asian Movement </t>
  </si>
  <si>
    <t>Yale Children’s Theater: An Undergraduate Organization</t>
  </si>
  <si>
    <t>Yale Friends of Israel</t>
  </si>
  <si>
    <t>Yale Students Demand Action</t>
  </si>
  <si>
    <t>Yale Votes</t>
  </si>
  <si>
    <t xml:space="preserve">Latter-day Saint Student Association </t>
  </si>
  <si>
    <t xml:space="preserve">The Living History Project </t>
  </si>
  <si>
    <t>Yale Mariachi de Lux Et Veritas</t>
  </si>
  <si>
    <t>Taps at Yale</t>
  </si>
  <si>
    <t xml:space="preserve">Yale Undergraduate Tabletop Association </t>
  </si>
  <si>
    <t>Yale Gospel Choir</t>
  </si>
  <si>
    <t>Black Student Alliance at Yale (BSAY)</t>
  </si>
  <si>
    <t xml:space="preserve">Yale Black Women’s Coalition </t>
  </si>
  <si>
    <t>Nepali Students Society</t>
  </si>
  <si>
    <t>Ethiopian Eritrean Student Association</t>
  </si>
  <si>
    <t>Mariachi Lux Et Veritas de Yale</t>
  </si>
  <si>
    <t>DeColores</t>
  </si>
  <si>
    <t>Yale Hillel - An Undergraduate Organization</t>
  </si>
  <si>
    <t>Yale Interpretation Network</t>
  </si>
  <si>
    <t>Yale undergraduate HOSA</t>
  </si>
  <si>
    <t>Yale Middle Eastern North African Students Association, Yale Student Arabic Orchestra</t>
  </si>
  <si>
    <t xml:space="preserve">Yale Undergraduate Veterans Society </t>
  </si>
  <si>
    <t>Yale Debate Association</t>
  </si>
  <si>
    <t>Ukraine House at Yale</t>
  </si>
  <si>
    <t>Alliance for Dance at Yale</t>
  </si>
  <si>
    <t>Yalies 4 Palestine (treasurer) and Yale Arab Students Association (President)</t>
  </si>
  <si>
    <t xml:space="preserve">Maison at Yale: An Undergraduate Organization </t>
  </si>
  <si>
    <t>Yale Undergraduate LGBTQ+ Business Alliance, Yale Undergraduate Diversified Investments</t>
  </si>
  <si>
    <t>Symposia—A Yale Undergraduate Research Journal</t>
  </si>
  <si>
    <t>magevet</t>
  </si>
  <si>
    <t>Yale DanceWorks</t>
  </si>
  <si>
    <t>Brazil Club at Yale, Yale Brazilian Music Collective</t>
  </si>
  <si>
    <t xml:space="preserve">European Horizons </t>
  </si>
  <si>
    <t>Yale College Black Men’s Student Union</t>
  </si>
  <si>
    <t>DESTA; FGLI Pre-Health Community</t>
  </si>
  <si>
    <t>American Medical Women’s Association at Yale</t>
  </si>
  <si>
    <t xml:space="preserve">Yale Student Fragrance Organization </t>
  </si>
  <si>
    <t xml:space="preserve">Yale Student Association for Small Claims Assistance, Yale Polo - An Undergraduate Association </t>
  </si>
  <si>
    <t>BlackGen Capital</t>
  </si>
  <si>
    <t>Refugee and Immigrant Student Education (RISE)</t>
  </si>
  <si>
    <t>Contigo Perú</t>
  </si>
  <si>
    <t>Salus Populi Foundation</t>
  </si>
  <si>
    <t xml:space="preserve">YHack </t>
  </si>
  <si>
    <t>Yale University</t>
  </si>
  <si>
    <t xml:space="preserve"> Yale Student Association for Small Claims Assistance</t>
  </si>
  <si>
    <t>Canadian Students At Yale</t>
  </si>
  <si>
    <t>Sikhs at Yale</t>
  </si>
  <si>
    <t xml:space="preserve"> Yale Polo — An Undergraduate Association</t>
  </si>
  <si>
    <t>The University Curlers at Yale Undergraduate Division</t>
  </si>
  <si>
    <t>Yale Caribbean Students' Organization</t>
  </si>
  <si>
    <t>Military History Society</t>
  </si>
  <si>
    <t>The Cucumber</t>
  </si>
  <si>
    <t>Women and Gender Minorities in Physics</t>
  </si>
  <si>
    <t>There's Hope in North Korea</t>
  </si>
  <si>
    <t>Accent Multilingual Magazine</t>
  </si>
  <si>
    <t>Yale Student Organization for Small Claims Assistance</t>
  </si>
  <si>
    <t>Yale Undergraduates of Phi Beta Kappa</t>
  </si>
  <si>
    <t>Student Flying Club at Yale</t>
  </si>
  <si>
    <t>Yale Undergraduate Science Olympiad</t>
  </si>
  <si>
    <t>The Yale Political Union (Undergraduate)</t>
  </si>
  <si>
    <t>Jook Songs</t>
  </si>
  <si>
    <t>Yale Scandinavian Society</t>
  </si>
  <si>
    <t>Service in Service</t>
  </si>
  <si>
    <t xml:space="preserve">Yale Knapping Society: A Student Organization </t>
  </si>
  <si>
    <t>Whim 'n Rhythm</t>
  </si>
  <si>
    <t>BlackGen Capital at Yale – an Undergraduate Organization</t>
  </si>
  <si>
    <t>Design for America at Yale</t>
  </si>
  <si>
    <t>Yale Journal of Medicine and Law</t>
  </si>
  <si>
    <t>TEDx Yale - An Undergraduate Organization</t>
  </si>
  <si>
    <t>DOWN Magazine</t>
  </si>
  <si>
    <t>Community Health Educators (CHE)</t>
  </si>
  <si>
    <t xml:space="preserve">Native and Indigenous Student Association at Yale — a Student Organization </t>
  </si>
  <si>
    <t>fSTS@Yale: An Undergraduate Collective</t>
  </si>
  <si>
    <t>Hypertension Awareness &amp; Prevention Program at Yale (HAPPY)</t>
  </si>
  <si>
    <t>Red Hot Poker</t>
  </si>
  <si>
    <t>United Students for Veterans' Health at Yale</t>
  </si>
  <si>
    <t>Students for Sensible Drug Policy at Yale</t>
  </si>
  <si>
    <t>Turkish Student Association of Yale College</t>
  </si>
  <si>
    <t>Yale First-Gen and/or Low-income Advocacy Movement (YFAM)</t>
  </si>
  <si>
    <t>Yale Movement</t>
  </si>
  <si>
    <t>Arnold Air Society</t>
  </si>
  <si>
    <t>MATHCOUNTS Outreach; a Yale Undergraduate Organization</t>
  </si>
  <si>
    <t>Heritage Theater Ensemble</t>
  </si>
  <si>
    <t>Passion! Pole Dance</t>
  </si>
  <si>
    <t>Yale Blockchain Club - A Student Organization</t>
  </si>
  <si>
    <t>Yale Queer Student Alliance (approved 1/31/24 and Ursula Hardianto approved 2/2/24)</t>
  </si>
  <si>
    <t>Hanppuri</t>
  </si>
  <si>
    <t>Yale Undergraduate Prison Project</t>
  </si>
  <si>
    <t>International Students' Organization</t>
  </si>
  <si>
    <t xml:space="preserve">Yale Student Marimba Band </t>
  </si>
  <si>
    <t>┬íOy├®! Spoken Word</t>
  </si>
  <si>
    <t>BlackOut</t>
  </si>
  <si>
    <t>The Yale Layer: An Undergraduate Publication</t>
  </si>
  <si>
    <t>Yalies4Palestone</t>
  </si>
  <si>
    <t>Something Extra</t>
  </si>
  <si>
    <t>Y-Worldwide Cereal Appreciation Club - A Student Organization</t>
  </si>
  <si>
    <t>Women &amp; Gender Minorities in CS</t>
  </si>
  <si>
    <t>Yale Foreign Policy Initiative - An Undergraduate Organization</t>
  </si>
  <si>
    <t>Peristalsis Dance Group</t>
  </si>
  <si>
    <t>L'Amuse-Bouche: Yale University's Undergraduate French-Language Journal</t>
  </si>
  <si>
    <t>Steppin' Out</t>
  </si>
  <si>
    <t>The Yale Herald Inc.</t>
  </si>
  <si>
    <t xml:space="preserve">Yale Undergraduates for UNICEF </t>
  </si>
  <si>
    <t>Yale Student Investment Group (YSIG)</t>
  </si>
  <si>
    <t>Yale Film Society: a student organization</t>
  </si>
  <si>
    <t>unable to access expense sheet</t>
  </si>
  <si>
    <t>Amount Awarded</t>
  </si>
  <si>
    <t>Old Political Society</t>
  </si>
  <si>
    <t>New Social Group</t>
  </si>
  <si>
    <t>HireIan Association</t>
  </si>
  <si>
    <t>You really should.</t>
  </si>
  <si>
    <t>google doc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</si>
</sst>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,##0.000"/>
    <numFmt numFmtId="166" formatCode="&quot;$&quot;#,##0"/>
  </numFmts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</font>
    <font>
      <b/>
      <sz val="12"/>
      <color theme="1"/>
      <name val="Arial"/>
      <scheme val="minor"/>
    </font>
    <font>
      <sz val="12"/>
      <color rgb="FF000000"/>
      <name val="Arial"/>
    </font>
    <font>
      <b/>
      <sz val="11"/>
      <color theme="1"/>
      <name val="Georgia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Roboto"/>
    </font>
    <font>
      <u/>
      <sz val="10"/>
      <color rgb="FF1155CC"/>
      <name val="Arial"/>
    </font>
    <font>
      <sz val="11"/>
      <color rgb="FF000000"/>
      <name val="&quot;Aptos Narrow&quot;"/>
    </font>
    <font>
      <u/>
      <sz val="10"/>
      <color rgb="FF1155CC"/>
      <name val="Arial"/>
    </font>
    <font>
      <sz val="10"/>
      <color theme="1"/>
      <name val="Calibri"/>
    </font>
    <font>
      <b/>
      <sz val="10"/>
      <color theme="1"/>
      <name val="Calibri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10" fontId="1" fillId="0" borderId="0" xfId="0" applyNumberFormat="1" applyFont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64" fontId="5" fillId="0" borderId="0" xfId="0" applyNumberFormat="1" applyFont="1"/>
    <xf numFmtId="0" fontId="5" fillId="2" borderId="0" xfId="0" applyFont="1" applyFill="1"/>
    <xf numFmtId="0" fontId="1" fillId="0" borderId="0" xfId="0" applyFont="1"/>
    <xf numFmtId="4" fontId="1" fillId="0" borderId="0" xfId="0" applyNumberFormat="1" applyFont="1"/>
    <xf numFmtId="164" fontId="6" fillId="0" borderId="0" xfId="0" applyNumberFormat="1" applyFont="1" applyAlignment="1">
      <alignment horizontal="right"/>
    </xf>
    <xf numFmtId="164" fontId="1" fillId="0" borderId="0" xfId="0" applyNumberFormat="1" applyFont="1"/>
    <xf numFmtId="164" fontId="1" fillId="3" borderId="0" xfId="0" applyNumberFormat="1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/>
    <xf numFmtId="0" fontId="12" fillId="0" borderId="0" xfId="0" applyFont="1"/>
    <xf numFmtId="164" fontId="12" fillId="0" borderId="0" xfId="0" applyNumberFormat="1" applyFont="1" applyAlignment="1">
      <alignment horizontal="right"/>
    </xf>
    <xf numFmtId="0" fontId="12" fillId="4" borderId="0" xfId="0" applyFont="1" applyFill="1"/>
    <xf numFmtId="164" fontId="12" fillId="4" borderId="0" xfId="0" applyNumberFormat="1" applyFont="1" applyFill="1" applyAlignment="1">
      <alignment horizontal="right"/>
    </xf>
    <xf numFmtId="164" fontId="12" fillId="5" borderId="0" xfId="0" applyNumberFormat="1" applyFont="1" applyFill="1" applyAlignment="1">
      <alignment horizontal="right"/>
    </xf>
    <xf numFmtId="0" fontId="13" fillId="0" borderId="0" xfId="0" applyFont="1"/>
    <xf numFmtId="0" fontId="15" fillId="0" borderId="0" xfId="0" applyFont="1" applyAlignment="1">
      <alignment horizontal="left"/>
    </xf>
    <xf numFmtId="0" fontId="14" fillId="0" borderId="0" xfId="0" applyFont="1"/>
    <xf numFmtId="0" fontId="16" fillId="0" borderId="0" xfId="0" applyFont="1"/>
  </cellXfs>
  <cellStyles count="1">
    <cellStyle name="Normal" xfId="0" builtinId="0"/>
  </cellStyles>
  <dxfs count="13">
    <dxf>
      <fill>
        <patternFill patternType="solid">
          <fgColor rgb="FF999999"/>
          <bgColor rgb="FF999999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topLeftCell="A6" workbookViewId="0">
      <selection activeCell="C9" sqref="C9"/>
    </sheetView>
  </sheetViews>
  <sheetFormatPr defaultColWidth="12.6328125" defaultRowHeight="15.75" customHeight="1"/>
  <cols>
    <col min="1" max="1" width="37.7265625" customWidth="1"/>
    <col min="2" max="3" width="60.36328125" customWidth="1"/>
    <col min="4" max="4" width="17.26953125" customWidth="1"/>
  </cols>
  <sheetData>
    <row r="1" spans="1:5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</row>
    <row r="2" spans="1:5" ht="15.75" customHeight="1">
      <c r="A2" s="2" t="s">
        <v>4</v>
      </c>
      <c r="B2" s="4">
        <v>2</v>
      </c>
      <c r="C2" s="4">
        <v>3</v>
      </c>
      <c r="D2" s="4" t="e">
        <f ca="1">concat(concat("+", (C2-B2)), " Organizations")</f>
        <v>#NAME?</v>
      </c>
      <c r="E2" s="5">
        <f t="shared" ref="E2:E8" si="0">((C2-B2)/B2)</f>
        <v>0.5</v>
      </c>
    </row>
    <row r="3" spans="1:5" ht="15.75" customHeight="1">
      <c r="A3" s="2" t="s">
        <v>5</v>
      </c>
      <c r="B3" s="6">
        <v>200</v>
      </c>
      <c r="C3" s="6">
        <v>400</v>
      </c>
      <c r="D3" s="6">
        <f t="shared" ref="D3:D8" si="1">(C3-B3)</f>
        <v>200</v>
      </c>
      <c r="E3" s="5">
        <f t="shared" si="0"/>
        <v>1</v>
      </c>
    </row>
    <row r="4" spans="1:5" ht="15.75" customHeight="1">
      <c r="A4" s="2" t="s">
        <v>6</v>
      </c>
      <c r="B4" s="6">
        <v>40000000</v>
      </c>
      <c r="C4" s="6">
        <v>393993</v>
      </c>
      <c r="D4" s="6">
        <f t="shared" si="1"/>
        <v>-39606007</v>
      </c>
      <c r="E4" s="5">
        <f t="shared" si="0"/>
        <v>-0.99015017500000002</v>
      </c>
    </row>
    <row r="5" spans="1:5" ht="15.75" customHeight="1">
      <c r="A5" s="2" t="s">
        <v>7</v>
      </c>
      <c r="B5" s="6">
        <v>110000</v>
      </c>
      <c r="C5" s="6">
        <v>122711.91115658334</v>
      </c>
      <c r="D5" s="6">
        <f t="shared" si="1"/>
        <v>12711.911156583345</v>
      </c>
      <c r="E5" s="5">
        <f t="shared" si="0"/>
        <v>0.11556282869621222</v>
      </c>
    </row>
    <row r="6" spans="1:5" ht="15.75" customHeight="1">
      <c r="A6" s="2" t="s">
        <v>8</v>
      </c>
      <c r="B6" s="4">
        <v>223</v>
      </c>
      <c r="C6" s="6">
        <v>223</v>
      </c>
      <c r="D6" s="6">
        <f t="shared" si="1"/>
        <v>0</v>
      </c>
      <c r="E6" s="5">
        <f t="shared" si="0"/>
        <v>0</v>
      </c>
    </row>
    <row r="7" spans="1:5" ht="15.75" customHeight="1">
      <c r="A7" s="2" t="s">
        <v>9</v>
      </c>
      <c r="B7" s="6">
        <v>2323</v>
      </c>
      <c r="C7" s="6">
        <v>23232</v>
      </c>
      <c r="D7" s="6">
        <f t="shared" si="1"/>
        <v>20909</v>
      </c>
      <c r="E7" s="5">
        <f t="shared" si="0"/>
        <v>9.0008609556607837</v>
      </c>
    </row>
    <row r="8" spans="1:5" ht="15.75" customHeight="1">
      <c r="A8" s="2" t="s">
        <v>10</v>
      </c>
      <c r="B8" s="4">
        <v>0.45</v>
      </c>
      <c r="C8" s="7">
        <v>0.55000000000000004</v>
      </c>
      <c r="D8" s="7">
        <f t="shared" si="1"/>
        <v>0.10000000000000003</v>
      </c>
      <c r="E8" s="5">
        <f t="shared" si="0"/>
        <v>0.22222222222222229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0" sqref="H10"/>
    </sheetView>
  </sheetViews>
  <sheetFormatPr defaultColWidth="12.6328125" defaultRowHeight="15.75" customHeight="1"/>
  <cols>
    <col min="1" max="1" width="31.08984375" customWidth="1"/>
    <col min="4" max="4" width="9.08984375" customWidth="1"/>
    <col min="9" max="9" width="37.90625" customWidth="1"/>
    <col min="11" max="11" width="18.453125" customWidth="1"/>
    <col min="12" max="12" width="17.7265625" customWidth="1"/>
    <col min="13" max="13" width="13.453125" customWidth="1"/>
    <col min="14" max="14" width="14.453125" customWidth="1"/>
    <col min="15" max="15" width="17.26953125" customWidth="1"/>
    <col min="16" max="21" width="14.90625" customWidth="1"/>
  </cols>
  <sheetData>
    <row r="1" spans="1:21" ht="14.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9" t="s">
        <v>295</v>
      </c>
      <c r="L1" s="9" t="s">
        <v>543</v>
      </c>
      <c r="M1" s="10" t="s">
        <v>21</v>
      </c>
      <c r="N1" s="9" t="s">
        <v>22</v>
      </c>
      <c r="O1" s="8" t="s">
        <v>23</v>
      </c>
      <c r="P1" s="8" t="s">
        <v>24</v>
      </c>
      <c r="Q1" s="8"/>
      <c r="R1" s="8"/>
      <c r="S1" s="8"/>
      <c r="T1" s="8"/>
      <c r="U1" s="8"/>
    </row>
    <row r="2" spans="1:21" ht="12.5">
      <c r="A2" s="31" t="s">
        <v>546</v>
      </c>
      <c r="B2" s="11" t="s">
        <v>26</v>
      </c>
      <c r="C2" s="11" t="s">
        <v>27</v>
      </c>
      <c r="D2" s="11">
        <v>100</v>
      </c>
      <c r="E2" s="11">
        <v>0</v>
      </c>
      <c r="F2" s="31" t="s">
        <v>37</v>
      </c>
      <c r="G2" s="12">
        <v>10000</v>
      </c>
      <c r="H2" s="11">
        <v>0</v>
      </c>
      <c r="I2" s="11" t="s">
        <v>29</v>
      </c>
      <c r="J2" s="31" t="s">
        <v>547</v>
      </c>
      <c r="K2" s="13">
        <v>100000000</v>
      </c>
      <c r="L2" s="14">
        <v>100000000</v>
      </c>
      <c r="M2" s="15">
        <v>0</v>
      </c>
      <c r="N2" s="12">
        <v>0.1</v>
      </c>
      <c r="O2" s="32" t="s">
        <v>548</v>
      </c>
      <c r="P2" s="32" t="s">
        <v>548</v>
      </c>
      <c r="Q2" s="11"/>
      <c r="R2" s="11"/>
      <c r="S2" s="11"/>
      <c r="T2" s="11"/>
      <c r="U2" s="11"/>
    </row>
    <row r="3" spans="1:21" ht="12.5">
      <c r="A3" s="31" t="s">
        <v>545</v>
      </c>
      <c r="B3" s="11" t="s">
        <v>30</v>
      </c>
      <c r="C3" s="11" t="s">
        <v>27</v>
      </c>
      <c r="D3" s="11">
        <v>25</v>
      </c>
      <c r="E3" s="11">
        <v>100</v>
      </c>
      <c r="F3" s="11" t="s">
        <v>28</v>
      </c>
      <c r="G3" s="11">
        <v>30</v>
      </c>
      <c r="H3" s="11">
        <v>750</v>
      </c>
      <c r="I3" s="11" t="s">
        <v>31</v>
      </c>
      <c r="J3" s="11"/>
      <c r="K3" s="13">
        <v>400</v>
      </c>
      <c r="L3" s="14">
        <v>200</v>
      </c>
      <c r="M3" s="15">
        <v>100</v>
      </c>
      <c r="N3" s="12">
        <v>0.4</v>
      </c>
      <c r="O3" s="32" t="s">
        <v>548</v>
      </c>
      <c r="P3" s="32" t="s">
        <v>548</v>
      </c>
      <c r="Q3" s="11"/>
      <c r="R3" s="11"/>
      <c r="S3" s="11"/>
      <c r="T3" s="11"/>
      <c r="U3" s="11"/>
    </row>
    <row r="4" spans="1:21" ht="13">
      <c r="A4" s="30" t="s">
        <v>544</v>
      </c>
      <c r="B4" s="16" t="s">
        <v>30</v>
      </c>
      <c r="C4" s="16" t="s">
        <v>33</v>
      </c>
      <c r="D4" s="17">
        <v>50</v>
      </c>
      <c r="E4" s="17">
        <v>69</v>
      </c>
      <c r="F4" s="16" t="s">
        <v>28</v>
      </c>
      <c r="G4" s="17">
        <v>0</v>
      </c>
      <c r="H4" s="17">
        <v>1000</v>
      </c>
      <c r="I4" s="16" t="s">
        <v>34</v>
      </c>
      <c r="J4" s="16"/>
      <c r="K4" s="18">
        <v>10</v>
      </c>
      <c r="L4" s="14">
        <v>20</v>
      </c>
      <c r="M4" s="15">
        <v>0</v>
      </c>
      <c r="N4" s="12">
        <v>0.8</v>
      </c>
      <c r="O4" s="32" t="s">
        <v>548</v>
      </c>
      <c r="P4" s="32" t="s">
        <v>548</v>
      </c>
    </row>
    <row r="5" spans="1:21" ht="12.5">
      <c r="Q5" s="20"/>
      <c r="R5" s="20"/>
      <c r="S5" s="20"/>
      <c r="T5" s="20"/>
      <c r="U5" s="20"/>
    </row>
    <row r="6" spans="1:21" ht="12.5">
      <c r="Q6" s="11"/>
      <c r="R6" s="11"/>
      <c r="S6" s="11"/>
      <c r="T6" s="11"/>
      <c r="U6" s="11"/>
    </row>
    <row r="7" spans="1:21" ht="12.5">
      <c r="Q7" s="20"/>
      <c r="R7" s="20"/>
      <c r="S7" s="20"/>
      <c r="T7" s="20"/>
      <c r="U7" s="20"/>
    </row>
    <row r="8" spans="1:21" ht="12.5">
      <c r="Q8" s="11"/>
      <c r="R8" s="11"/>
      <c r="S8" s="11"/>
      <c r="T8" s="11"/>
      <c r="U8" s="11"/>
    </row>
    <row r="9" spans="1:21" ht="12.5">
      <c r="Q9" s="20"/>
      <c r="R9" s="20"/>
      <c r="S9" s="20"/>
      <c r="T9" s="20"/>
      <c r="U9" s="20"/>
    </row>
    <row r="10" spans="1:21" ht="12.5">
      <c r="Q10" s="11"/>
      <c r="R10" s="11"/>
      <c r="S10" s="11"/>
      <c r="T10" s="11"/>
      <c r="U10" s="11"/>
    </row>
    <row r="11" spans="1:21" ht="12.5">
      <c r="Q11" s="11"/>
      <c r="R11" s="11"/>
      <c r="S11" s="11"/>
      <c r="T11" s="11"/>
      <c r="U11" s="11"/>
    </row>
    <row r="12" spans="1:21" ht="12.5">
      <c r="Q12" s="20"/>
      <c r="R12" s="20"/>
      <c r="S12" s="20"/>
      <c r="T12" s="20"/>
      <c r="U12" s="20"/>
    </row>
    <row r="13" spans="1:21" ht="12.5">
      <c r="Q13" s="11"/>
      <c r="R13" s="11"/>
      <c r="S13" s="11"/>
      <c r="T13" s="11"/>
      <c r="U13" s="11"/>
    </row>
    <row r="14" spans="1:21" ht="12.5">
      <c r="Q14" s="11"/>
      <c r="R14" s="11"/>
      <c r="S14" s="11"/>
      <c r="T14" s="11"/>
      <c r="U14" s="11"/>
    </row>
    <row r="15" spans="1:21" ht="17.25" customHeight="1">
      <c r="Q15" s="11"/>
      <c r="R15" s="11"/>
      <c r="S15" s="11"/>
      <c r="T15" s="11"/>
      <c r="U15" s="11"/>
    </row>
    <row r="16" spans="1:21" ht="12.5">
      <c r="Q16" s="11"/>
      <c r="R16" s="11"/>
      <c r="S16" s="11"/>
      <c r="T16" s="11"/>
      <c r="U16" s="11"/>
    </row>
    <row r="17" spans="17:21" ht="12.5">
      <c r="Q17" s="20"/>
      <c r="R17" s="20"/>
      <c r="S17" s="20"/>
      <c r="T17" s="20"/>
      <c r="U17" s="20"/>
    </row>
    <row r="18" spans="17:21" ht="12.5">
      <c r="Q18" s="11"/>
      <c r="R18" s="11"/>
      <c r="S18" s="11"/>
      <c r="T18" s="11"/>
      <c r="U18" s="11"/>
    </row>
    <row r="19" spans="17:21" ht="12.5">
      <c r="Q19" s="20"/>
      <c r="R19" s="20"/>
      <c r="S19" s="20"/>
      <c r="T19" s="20"/>
      <c r="U19" s="20"/>
    </row>
    <row r="20" spans="17:21" ht="12.5">
      <c r="Q20" s="11"/>
      <c r="R20" s="11"/>
      <c r="S20" s="11"/>
      <c r="T20" s="11"/>
      <c r="U20" s="11"/>
    </row>
    <row r="21" spans="17:21" ht="12.5">
      <c r="Q21" s="11"/>
      <c r="R21" s="11"/>
      <c r="S21" s="11"/>
      <c r="T21" s="11"/>
      <c r="U21" s="11"/>
    </row>
    <row r="22" spans="17:21" ht="12.5">
      <c r="Q22" s="11"/>
      <c r="R22" s="11"/>
      <c r="S22" s="11"/>
      <c r="T22" s="11"/>
      <c r="U22" s="11"/>
    </row>
    <row r="23" spans="17:21" ht="12.5">
      <c r="Q23" s="11"/>
      <c r="R23" s="11"/>
      <c r="S23" s="11"/>
      <c r="T23" s="11"/>
      <c r="U23" s="11"/>
    </row>
    <row r="24" spans="17:21" ht="12.5">
      <c r="Q24" s="11"/>
      <c r="R24" s="11"/>
      <c r="S24" s="11"/>
      <c r="T24" s="11"/>
      <c r="U24" s="11"/>
    </row>
    <row r="25" spans="17:21" ht="12.5">
      <c r="Q25" s="11"/>
      <c r="R25" s="11"/>
      <c r="S25" s="11"/>
      <c r="T25" s="11"/>
      <c r="U25" s="11"/>
    </row>
    <row r="26" spans="17:21" ht="12.5">
      <c r="Q26" s="11"/>
      <c r="R26" s="11"/>
      <c r="S26" s="11"/>
      <c r="T26" s="11"/>
      <c r="U26" s="11"/>
    </row>
    <row r="27" spans="17:21" ht="14">
      <c r="Q27" s="21"/>
      <c r="R27" s="21"/>
      <c r="S27" s="21"/>
      <c r="T27" s="21"/>
      <c r="U27" s="21"/>
    </row>
    <row r="28" spans="17:21" ht="12.5">
      <c r="Q28" s="20"/>
      <c r="R28" s="20"/>
      <c r="S28" s="20"/>
      <c r="T28" s="20"/>
      <c r="U28" s="20"/>
    </row>
    <row r="29" spans="17:21" ht="12.5">
      <c r="Q29" s="11"/>
      <c r="R29" s="11"/>
      <c r="S29" s="11"/>
      <c r="T29" s="11"/>
      <c r="U29" s="11"/>
    </row>
    <row r="30" spans="17:21" ht="12.5">
      <c r="Q30" s="20"/>
      <c r="R30" s="20"/>
      <c r="S30" s="20"/>
      <c r="T30" s="20"/>
      <c r="U30" s="20"/>
    </row>
    <row r="31" spans="17:21" ht="14">
      <c r="Q31" s="21"/>
      <c r="R31" s="21"/>
      <c r="S31" s="21"/>
      <c r="T31" s="21"/>
      <c r="U31" s="21"/>
    </row>
    <row r="32" spans="17:21" ht="12.5">
      <c r="Q32" s="11"/>
      <c r="R32" s="11"/>
      <c r="S32" s="11"/>
      <c r="T32" s="11"/>
      <c r="U32" s="11"/>
    </row>
    <row r="33" spans="17:21" ht="12.5">
      <c r="Q33" s="11"/>
      <c r="R33" s="11"/>
      <c r="S33" s="11"/>
      <c r="T33" s="11"/>
      <c r="U33" s="11"/>
    </row>
    <row r="34" spans="17:21" ht="12.5">
      <c r="Q34" s="11"/>
      <c r="R34" s="11"/>
      <c r="S34" s="11"/>
      <c r="T34" s="11"/>
      <c r="U34" s="11"/>
    </row>
    <row r="35" spans="17:21" ht="12.5">
      <c r="Q35" s="11"/>
      <c r="R35" s="11"/>
      <c r="S35" s="11"/>
      <c r="T35" s="11"/>
      <c r="U35" s="11"/>
    </row>
    <row r="36" spans="17:21" ht="13.5" customHeight="1">
      <c r="Q36" s="20"/>
      <c r="R36" s="20"/>
      <c r="S36" s="20"/>
      <c r="T36" s="20"/>
      <c r="U36" s="20"/>
    </row>
    <row r="37" spans="17:21" ht="12.5">
      <c r="Q37" s="11"/>
      <c r="R37" s="11"/>
      <c r="S37" s="11"/>
      <c r="T37" s="11"/>
      <c r="U37" s="11"/>
    </row>
    <row r="38" spans="17:21" ht="18" customHeight="1">
      <c r="Q38" s="11"/>
      <c r="R38" s="11"/>
      <c r="S38" s="11"/>
      <c r="T38" s="11"/>
      <c r="U38" s="11"/>
    </row>
    <row r="39" spans="17:21" ht="12.5">
      <c r="Q39" s="11"/>
      <c r="R39" s="11"/>
      <c r="S39" s="11"/>
      <c r="T39" s="11"/>
      <c r="U39" s="11"/>
    </row>
    <row r="40" spans="17:21" ht="12.5">
      <c r="Q40" s="20"/>
      <c r="R40" s="20"/>
      <c r="S40" s="20"/>
      <c r="T40" s="20"/>
      <c r="U40" s="20"/>
    </row>
    <row r="41" spans="17:21" ht="12.5">
      <c r="Q41" s="11"/>
      <c r="R41" s="11"/>
      <c r="S41" s="11"/>
      <c r="T41" s="11"/>
      <c r="U41" s="11"/>
    </row>
    <row r="42" spans="17:21" ht="12.5">
      <c r="Q42" s="11"/>
      <c r="R42" s="11"/>
      <c r="S42" s="11"/>
      <c r="T42" s="11"/>
      <c r="U42" s="11"/>
    </row>
    <row r="43" spans="17:21" ht="12.5">
      <c r="Q43" s="11"/>
      <c r="R43" s="11"/>
      <c r="S43" s="11"/>
      <c r="T43" s="11"/>
      <c r="U43" s="11"/>
    </row>
    <row r="44" spans="17:21" ht="12.5">
      <c r="Q44" s="20"/>
      <c r="R44" s="20"/>
      <c r="S44" s="20"/>
      <c r="T44" s="20"/>
      <c r="U44" s="20"/>
    </row>
    <row r="45" spans="17:21" ht="12.5">
      <c r="Q45" s="20"/>
      <c r="R45" s="20"/>
      <c r="S45" s="20"/>
      <c r="T45" s="20"/>
      <c r="U45" s="20"/>
    </row>
    <row r="46" spans="17:21" ht="12.5">
      <c r="Q46" s="11"/>
      <c r="R46" s="11"/>
      <c r="S46" s="11"/>
      <c r="T46" s="11"/>
      <c r="U46" s="11"/>
    </row>
    <row r="47" spans="17:21" ht="12.5">
      <c r="Q47" s="11"/>
      <c r="R47" s="11"/>
      <c r="S47" s="11"/>
      <c r="T47" s="11"/>
      <c r="U47" s="11"/>
    </row>
    <row r="48" spans="17:21" ht="12.5">
      <c r="Q48" s="11"/>
      <c r="R48" s="11"/>
      <c r="S48" s="11"/>
      <c r="T48" s="11"/>
      <c r="U48" s="11"/>
    </row>
    <row r="49" spans="17:21" ht="12.5">
      <c r="Q49" s="20"/>
      <c r="R49" s="20"/>
      <c r="S49" s="20"/>
      <c r="T49" s="20"/>
      <c r="U49" s="20"/>
    </row>
    <row r="50" spans="17:21" ht="12.5">
      <c r="Q50" s="20"/>
      <c r="R50" s="20"/>
      <c r="S50" s="20"/>
      <c r="T50" s="20"/>
      <c r="U50" s="20"/>
    </row>
    <row r="51" spans="17:21" ht="12.5">
      <c r="Q51" s="11"/>
      <c r="R51" s="11"/>
      <c r="S51" s="11"/>
      <c r="T51" s="11"/>
      <c r="U51" s="11"/>
    </row>
    <row r="52" spans="17:21" ht="12.5">
      <c r="Q52" s="11"/>
      <c r="R52" s="11"/>
      <c r="S52" s="11"/>
      <c r="T52" s="11"/>
      <c r="U52" s="11"/>
    </row>
    <row r="53" spans="17:21" ht="12.5">
      <c r="Q53" s="11"/>
      <c r="R53" s="11"/>
      <c r="S53" s="11"/>
      <c r="T53" s="11"/>
      <c r="U53" s="11"/>
    </row>
    <row r="54" spans="17:21" ht="12.5">
      <c r="Q54" s="11"/>
      <c r="R54" s="11"/>
      <c r="S54" s="11"/>
      <c r="T54" s="11"/>
      <c r="U54" s="11"/>
    </row>
    <row r="55" spans="17:21" ht="12.5">
      <c r="Q55" s="11"/>
      <c r="R55" s="11"/>
      <c r="S55" s="11"/>
      <c r="T55" s="11"/>
      <c r="U55" s="11"/>
    </row>
    <row r="56" spans="17:21" ht="12.5">
      <c r="Q56" s="11"/>
      <c r="R56" s="11"/>
      <c r="S56" s="11"/>
      <c r="T56" s="11"/>
      <c r="U56" s="11"/>
    </row>
    <row r="57" spans="17:21" ht="12.5">
      <c r="Q57" s="11"/>
      <c r="R57" s="11"/>
      <c r="S57" s="11"/>
      <c r="T57" s="11"/>
      <c r="U57" s="11"/>
    </row>
    <row r="58" spans="17:21" ht="12.5">
      <c r="Q58" s="20"/>
      <c r="R58" s="20"/>
      <c r="S58" s="20"/>
      <c r="T58" s="20"/>
      <c r="U58" s="20"/>
    </row>
    <row r="59" spans="17:21" ht="12.5">
      <c r="Q59" s="11"/>
      <c r="R59" s="11"/>
      <c r="S59" s="11"/>
      <c r="T59" s="11"/>
      <c r="U59" s="11"/>
    </row>
    <row r="60" spans="17:21" ht="12.5">
      <c r="Q60" s="11"/>
      <c r="R60" s="11"/>
      <c r="S60" s="11"/>
      <c r="T60" s="11"/>
      <c r="U60" s="11"/>
    </row>
    <row r="61" spans="17:21" ht="12.5">
      <c r="Q61" s="11"/>
      <c r="R61" s="11"/>
      <c r="S61" s="11"/>
      <c r="T61" s="11"/>
      <c r="U61" s="11"/>
    </row>
    <row r="62" spans="17:21" ht="12.5">
      <c r="Q62" s="11"/>
      <c r="R62" s="11"/>
      <c r="S62" s="11"/>
      <c r="T62" s="11"/>
      <c r="U62" s="11"/>
    </row>
    <row r="63" spans="17:21" ht="12.5">
      <c r="Q63" s="11"/>
      <c r="R63" s="11"/>
      <c r="S63" s="11"/>
      <c r="T63" s="11"/>
      <c r="U63" s="11"/>
    </row>
    <row r="64" spans="17:21" ht="12.5">
      <c r="Q64" s="20"/>
      <c r="R64" s="20"/>
      <c r="S64" s="20"/>
      <c r="T64" s="20"/>
      <c r="U64" s="20"/>
    </row>
    <row r="65" spans="17:21" ht="12.5">
      <c r="Q65" s="11"/>
      <c r="R65" s="11"/>
      <c r="S65" s="11"/>
      <c r="T65" s="11"/>
      <c r="U65" s="11"/>
    </row>
    <row r="66" spans="17:21" ht="12.5">
      <c r="Q66" s="11"/>
      <c r="R66" s="11"/>
      <c r="S66" s="11"/>
      <c r="T66" s="11"/>
      <c r="U66" s="11"/>
    </row>
    <row r="67" spans="17:21" ht="12.5">
      <c r="Q67" s="20"/>
      <c r="R67" s="20"/>
      <c r="S67" s="20"/>
      <c r="T67" s="20"/>
      <c r="U67" s="20"/>
    </row>
    <row r="68" spans="17:21" ht="12.5">
      <c r="Q68" s="11"/>
      <c r="R68" s="11"/>
      <c r="S68" s="11"/>
      <c r="T68" s="11"/>
      <c r="U68" s="11"/>
    </row>
    <row r="69" spans="17:21" ht="12.5">
      <c r="Q69" s="11"/>
      <c r="R69" s="11"/>
      <c r="S69" s="11"/>
      <c r="T69" s="11"/>
      <c r="U69" s="11"/>
    </row>
    <row r="70" spans="17:21" ht="12.5">
      <c r="Q70" s="11"/>
      <c r="R70" s="11"/>
      <c r="S70" s="11"/>
      <c r="T70" s="11"/>
      <c r="U70" s="11"/>
    </row>
    <row r="71" spans="17:21" ht="12.5">
      <c r="Q71" s="20"/>
      <c r="R71" s="20"/>
      <c r="S71" s="20"/>
      <c r="T71" s="20"/>
      <c r="U71" s="20"/>
    </row>
    <row r="72" spans="17:21" ht="12.5">
      <c r="Q72" s="11"/>
      <c r="R72" s="11"/>
      <c r="S72" s="11"/>
      <c r="T72" s="11"/>
      <c r="U72" s="11"/>
    </row>
    <row r="73" spans="17:21" ht="12.5">
      <c r="Q73" s="22"/>
      <c r="R73" s="22"/>
      <c r="S73" s="22"/>
      <c r="T73" s="22"/>
      <c r="U73" s="22"/>
    </row>
    <row r="74" spans="17:21" ht="12.5">
      <c r="Q74" s="11"/>
      <c r="R74" s="11"/>
      <c r="S74" s="11"/>
      <c r="T74" s="11"/>
      <c r="U74" s="11"/>
    </row>
    <row r="75" spans="17:21" ht="12.5">
      <c r="Q75" s="11"/>
      <c r="R75" s="11"/>
      <c r="S75" s="11"/>
      <c r="T75" s="11"/>
      <c r="U75" s="11"/>
    </row>
    <row r="76" spans="17:21" ht="12.5">
      <c r="Q76" s="11"/>
      <c r="R76" s="11"/>
      <c r="S76" s="11"/>
      <c r="T76" s="11"/>
      <c r="U76" s="11"/>
    </row>
    <row r="77" spans="17:21" ht="12.5">
      <c r="Q77" s="11"/>
      <c r="R77" s="11"/>
      <c r="S77" s="11"/>
      <c r="T77" s="11"/>
      <c r="U77" s="11"/>
    </row>
    <row r="78" spans="17:21" ht="12.5">
      <c r="Q78" s="11"/>
      <c r="R78" s="11"/>
      <c r="S78" s="11"/>
      <c r="T78" s="11"/>
      <c r="U78" s="11"/>
    </row>
    <row r="79" spans="17:21" ht="12.5">
      <c r="Q79" s="11"/>
      <c r="R79" s="11"/>
      <c r="S79" s="11"/>
      <c r="T79" s="11"/>
      <c r="U79" s="11"/>
    </row>
    <row r="80" spans="17:21" ht="12.5">
      <c r="Q80" s="11"/>
      <c r="R80" s="11"/>
      <c r="S80" s="11"/>
      <c r="T80" s="11"/>
      <c r="U80" s="11"/>
    </row>
    <row r="81" spans="17:21" ht="12.5">
      <c r="Q81" s="11"/>
      <c r="R81" s="11"/>
      <c r="S81" s="11"/>
      <c r="T81" s="11"/>
      <c r="U81" s="11"/>
    </row>
    <row r="82" spans="17:21" ht="12.5">
      <c r="Q82" s="11"/>
      <c r="R82" s="11"/>
      <c r="S82" s="11"/>
      <c r="T82" s="11"/>
      <c r="U82" s="11"/>
    </row>
    <row r="83" spans="17:21" ht="12.5">
      <c r="Q83" s="20"/>
      <c r="R83" s="20"/>
      <c r="S83" s="20"/>
      <c r="T83" s="20"/>
      <c r="U83" s="20"/>
    </row>
    <row r="84" spans="17:21" ht="12.5">
      <c r="Q84" s="11"/>
      <c r="R84" s="11"/>
      <c r="S84" s="11"/>
      <c r="T84" s="11"/>
      <c r="U84" s="11"/>
    </row>
    <row r="85" spans="17:21" ht="12.5">
      <c r="Q85" s="11"/>
      <c r="R85" s="11"/>
      <c r="S85" s="11"/>
      <c r="T85" s="11"/>
      <c r="U85" s="11"/>
    </row>
    <row r="86" spans="17:21" ht="12.5">
      <c r="Q86" s="11"/>
      <c r="R86" s="11"/>
      <c r="S86" s="11"/>
      <c r="T86" s="11"/>
      <c r="U86" s="11"/>
    </row>
    <row r="87" spans="17:21" ht="12.5">
      <c r="Q87" s="11"/>
      <c r="R87" s="11"/>
      <c r="S87" s="11"/>
      <c r="T87" s="11"/>
      <c r="U87" s="11"/>
    </row>
    <row r="88" spans="17:21" ht="15" customHeight="1">
      <c r="Q88" s="11"/>
      <c r="R88" s="11"/>
      <c r="S88" s="11"/>
      <c r="T88" s="11"/>
      <c r="U88" s="11"/>
    </row>
    <row r="89" spans="17:21" ht="12.5">
      <c r="Q89" s="11"/>
      <c r="R89" s="11"/>
      <c r="S89" s="11"/>
      <c r="T89" s="11"/>
      <c r="U89" s="11"/>
    </row>
    <row r="90" spans="17:21" ht="12.5">
      <c r="Q90" s="11"/>
      <c r="R90" s="11"/>
      <c r="S90" s="11"/>
      <c r="T90" s="11"/>
      <c r="U90" s="11"/>
    </row>
    <row r="91" spans="17:21" ht="12.5">
      <c r="Q91" s="11"/>
      <c r="R91" s="11"/>
      <c r="S91" s="11"/>
      <c r="T91" s="11"/>
      <c r="U91" s="11"/>
    </row>
    <row r="92" spans="17:21" ht="12.5">
      <c r="Q92" s="11"/>
      <c r="R92" s="11"/>
      <c r="S92" s="11"/>
      <c r="T92" s="11"/>
      <c r="U92" s="11"/>
    </row>
    <row r="93" spans="17:21" ht="12.5">
      <c r="Q93" s="11"/>
      <c r="R93" s="11"/>
      <c r="S93" s="11"/>
      <c r="T93" s="11"/>
      <c r="U93" s="11"/>
    </row>
    <row r="94" spans="17:21" ht="12.5">
      <c r="Q94" s="11"/>
      <c r="R94" s="11"/>
      <c r="S94" s="11"/>
      <c r="T94" s="11"/>
      <c r="U94" s="11"/>
    </row>
    <row r="95" spans="17:21" ht="12.5">
      <c r="Q95" s="11"/>
      <c r="R95" s="11"/>
      <c r="S95" s="11"/>
      <c r="T95" s="11"/>
      <c r="U95" s="11"/>
    </row>
    <row r="96" spans="17:21" ht="12.5">
      <c r="Q96" s="11"/>
      <c r="R96" s="11"/>
      <c r="S96" s="11"/>
      <c r="T96" s="11"/>
      <c r="U96" s="11"/>
    </row>
    <row r="97" spans="17:21" ht="12.5">
      <c r="Q97" s="20"/>
      <c r="R97" s="20"/>
      <c r="S97" s="20"/>
      <c r="T97" s="20"/>
      <c r="U97" s="20"/>
    </row>
    <row r="98" spans="17:21" ht="12.5">
      <c r="Q98" s="20"/>
      <c r="R98" s="20"/>
      <c r="S98" s="20"/>
      <c r="T98" s="20"/>
      <c r="U98" s="20"/>
    </row>
    <row r="99" spans="17:21" ht="12.5">
      <c r="Q99" s="20"/>
      <c r="R99" s="20"/>
      <c r="S99" s="20"/>
      <c r="T99" s="20"/>
      <c r="U99" s="20"/>
    </row>
    <row r="100" spans="17:21" ht="12.5">
      <c r="Q100" s="11"/>
      <c r="R100" s="11"/>
      <c r="S100" s="11"/>
      <c r="T100" s="11"/>
      <c r="U100" s="11"/>
    </row>
    <row r="101" spans="17:21" ht="12.5">
      <c r="Q101" s="11"/>
      <c r="R101" s="11"/>
      <c r="S101" s="11"/>
      <c r="T101" s="11"/>
      <c r="U101" s="11"/>
    </row>
    <row r="102" spans="17:21" ht="12.5">
      <c r="Q102" s="20"/>
      <c r="R102" s="20"/>
      <c r="S102" s="20"/>
      <c r="T102" s="20"/>
      <c r="U102" s="20"/>
    </row>
    <row r="103" spans="17:21" ht="12.5">
      <c r="Q103" s="11"/>
      <c r="R103" s="11"/>
      <c r="S103" s="11"/>
      <c r="T103" s="11"/>
      <c r="U103" s="11"/>
    </row>
    <row r="104" spans="17:21" ht="12.5">
      <c r="Q104" s="20"/>
      <c r="R104" s="20"/>
      <c r="S104" s="20"/>
      <c r="T104" s="20"/>
      <c r="U104" s="20"/>
    </row>
    <row r="105" spans="17:21" ht="12.5">
      <c r="Q105" s="11"/>
      <c r="R105" s="11"/>
      <c r="S105" s="11"/>
      <c r="T105" s="11"/>
      <c r="U105" s="11"/>
    </row>
    <row r="106" spans="17:21" ht="12.5">
      <c r="Q106" s="20"/>
      <c r="R106" s="20"/>
      <c r="S106" s="20"/>
      <c r="T106" s="20"/>
      <c r="U106" s="20"/>
    </row>
    <row r="107" spans="17:21" ht="12.5">
      <c r="Q107" s="11"/>
      <c r="R107" s="11"/>
      <c r="S107" s="11"/>
      <c r="T107" s="11"/>
      <c r="U107" s="11"/>
    </row>
    <row r="108" spans="17:21" ht="12.5">
      <c r="Q108" s="11"/>
      <c r="R108" s="11"/>
      <c r="S108" s="11"/>
      <c r="T108" s="11"/>
      <c r="U108" s="11"/>
    </row>
    <row r="109" spans="17:21" ht="12.5">
      <c r="Q109" s="11"/>
      <c r="R109" s="11"/>
      <c r="S109" s="11"/>
      <c r="T109" s="11"/>
      <c r="U109" s="11"/>
    </row>
    <row r="110" spans="17:21" ht="12.5">
      <c r="Q110" s="20"/>
      <c r="R110" s="20"/>
      <c r="S110" s="20"/>
      <c r="T110" s="20"/>
      <c r="U110" s="20"/>
    </row>
    <row r="111" spans="17:21" ht="12.5">
      <c r="Q111" s="11"/>
      <c r="R111" s="11"/>
      <c r="S111" s="11"/>
      <c r="T111" s="11"/>
      <c r="U111" s="11"/>
    </row>
    <row r="112" spans="17:21" ht="12.5">
      <c r="Q112" s="11"/>
      <c r="R112" s="11"/>
      <c r="S112" s="11"/>
      <c r="T112" s="11"/>
      <c r="U112" s="11"/>
    </row>
    <row r="113" spans="17:21" ht="12.5">
      <c r="Q113" s="11"/>
      <c r="R113" s="11"/>
      <c r="S113" s="11"/>
      <c r="T113" s="11"/>
      <c r="U113" s="11"/>
    </row>
    <row r="114" spans="17:21" ht="12.5">
      <c r="Q114" s="11"/>
      <c r="R114" s="11"/>
      <c r="S114" s="11"/>
      <c r="T114" s="11"/>
      <c r="U114" s="11"/>
    </row>
    <row r="115" spans="17:21" ht="12.5">
      <c r="Q115" s="11"/>
      <c r="R115" s="11"/>
      <c r="S115" s="11"/>
      <c r="T115" s="11"/>
      <c r="U115" s="11"/>
    </row>
    <row r="116" spans="17:21" ht="12.5">
      <c r="Q116" s="11"/>
      <c r="R116" s="11"/>
      <c r="S116" s="11"/>
      <c r="T116" s="11"/>
      <c r="U116" s="11"/>
    </row>
    <row r="117" spans="17:21" ht="12.5">
      <c r="Q117" s="11"/>
      <c r="R117" s="11"/>
      <c r="S117" s="11"/>
      <c r="T117" s="11"/>
      <c r="U117" s="11"/>
    </row>
    <row r="118" spans="17:21" ht="12.5">
      <c r="Q118" s="11"/>
      <c r="R118" s="11"/>
      <c r="S118" s="11"/>
      <c r="T118" s="11"/>
      <c r="U118" s="11"/>
    </row>
    <row r="119" spans="17:21" ht="12.5">
      <c r="Q119" s="20"/>
      <c r="R119" s="20"/>
      <c r="S119" s="20"/>
      <c r="T119" s="20"/>
      <c r="U119" s="20"/>
    </row>
    <row r="120" spans="17:21" ht="12.5">
      <c r="Q120" s="11"/>
      <c r="R120" s="11"/>
      <c r="S120" s="11"/>
      <c r="T120" s="11"/>
      <c r="U120" s="11"/>
    </row>
    <row r="121" spans="17:21" ht="12.5">
      <c r="Q121" s="11"/>
      <c r="R121" s="11"/>
      <c r="S121" s="11"/>
      <c r="T121" s="11"/>
      <c r="U121" s="11"/>
    </row>
    <row r="122" spans="17:21" ht="12.5">
      <c r="Q122" s="11"/>
      <c r="R122" s="11"/>
      <c r="S122" s="11"/>
      <c r="T122" s="11"/>
      <c r="U122" s="11"/>
    </row>
    <row r="123" spans="17:21" ht="12.5">
      <c r="Q123" s="11"/>
      <c r="R123" s="11"/>
      <c r="S123" s="11"/>
      <c r="T123" s="11"/>
      <c r="U123" s="11"/>
    </row>
    <row r="124" spans="17:21" ht="12.5">
      <c r="Q124" s="20"/>
      <c r="R124" s="20"/>
      <c r="S124" s="20"/>
      <c r="T124" s="20"/>
      <c r="U124" s="20"/>
    </row>
    <row r="125" spans="17:21" ht="12.5">
      <c r="Q125" s="11"/>
      <c r="R125" s="11"/>
      <c r="S125" s="11"/>
      <c r="T125" s="11"/>
      <c r="U125" s="11"/>
    </row>
    <row r="126" spans="17:21" ht="12.5">
      <c r="Q126" s="11"/>
      <c r="R126" s="11"/>
      <c r="S126" s="11"/>
      <c r="T126" s="11"/>
      <c r="U126" s="11"/>
    </row>
    <row r="127" spans="17:21" ht="12.5">
      <c r="Q127" s="11"/>
      <c r="R127" s="11"/>
      <c r="S127" s="11"/>
      <c r="T127" s="11"/>
      <c r="U127" s="11"/>
    </row>
    <row r="128" spans="17:21" ht="12.5">
      <c r="Q128" s="11"/>
      <c r="R128" s="11"/>
      <c r="S128" s="11"/>
      <c r="T128" s="11"/>
      <c r="U128" s="11"/>
    </row>
    <row r="129" spans="17:21" ht="12.5">
      <c r="Q129" s="20"/>
      <c r="R129" s="20"/>
      <c r="S129" s="20"/>
      <c r="T129" s="20"/>
      <c r="U129" s="20"/>
    </row>
    <row r="130" spans="17:21" ht="12.5">
      <c r="Q130" s="20"/>
      <c r="R130" s="20"/>
      <c r="S130" s="20"/>
      <c r="T130" s="20"/>
      <c r="U130" s="20"/>
    </row>
    <row r="131" spans="17:21" ht="12.5">
      <c r="Q131" s="11"/>
      <c r="R131" s="11"/>
      <c r="S131" s="11"/>
      <c r="T131" s="11"/>
      <c r="U131" s="11"/>
    </row>
    <row r="132" spans="17:21" ht="12.5">
      <c r="Q132" s="20"/>
      <c r="R132" s="20"/>
      <c r="S132" s="20"/>
      <c r="T132" s="20"/>
      <c r="U132" s="20"/>
    </row>
    <row r="133" spans="17:21" ht="12.5">
      <c r="Q133" s="11"/>
      <c r="R133" s="11"/>
      <c r="S133" s="11"/>
      <c r="T133" s="11"/>
      <c r="U133" s="11"/>
    </row>
    <row r="134" spans="17:21" ht="12.5">
      <c r="Q134" s="20"/>
      <c r="R134" s="20"/>
      <c r="S134" s="20"/>
      <c r="T134" s="20"/>
      <c r="U134" s="20"/>
    </row>
    <row r="135" spans="17:21" ht="12.5">
      <c r="Q135" s="11"/>
      <c r="R135" s="11"/>
      <c r="S135" s="11"/>
      <c r="T135" s="11"/>
      <c r="U135" s="11"/>
    </row>
    <row r="136" spans="17:21" ht="17.25" customHeight="1">
      <c r="Q136" s="11"/>
      <c r="R136" s="11"/>
      <c r="S136" s="11"/>
      <c r="T136" s="11"/>
      <c r="U136" s="11"/>
    </row>
    <row r="137" spans="17:21" ht="12.5">
      <c r="Q137" s="11"/>
      <c r="R137" s="11"/>
      <c r="S137" s="11"/>
      <c r="T137" s="11"/>
      <c r="U137" s="11"/>
    </row>
    <row r="138" spans="17:21" ht="12.5">
      <c r="Q138" s="11"/>
      <c r="R138" s="11"/>
      <c r="S138" s="11"/>
      <c r="T138" s="11"/>
      <c r="U138" s="11"/>
    </row>
    <row r="139" spans="17:21" ht="12.5">
      <c r="Q139" s="20"/>
      <c r="R139" s="20"/>
      <c r="S139" s="20"/>
      <c r="T139" s="20"/>
      <c r="U139" s="20"/>
    </row>
    <row r="140" spans="17:21" ht="12.5">
      <c r="Q140" s="11"/>
      <c r="R140" s="11"/>
      <c r="S140" s="11"/>
      <c r="T140" s="11"/>
      <c r="U140" s="11"/>
    </row>
    <row r="141" spans="17:21" ht="12.5">
      <c r="Q141" s="11"/>
      <c r="R141" s="11"/>
      <c r="S141" s="11"/>
      <c r="T141" s="11"/>
      <c r="U141" s="11"/>
    </row>
    <row r="142" spans="17:21" ht="14">
      <c r="Q142" s="21"/>
      <c r="R142" s="21"/>
      <c r="S142" s="21"/>
      <c r="T142" s="21"/>
      <c r="U142" s="21"/>
    </row>
    <row r="143" spans="17:21" ht="12.5">
      <c r="Q143" s="20"/>
      <c r="R143" s="20"/>
      <c r="S143" s="20"/>
      <c r="T143" s="20"/>
      <c r="U143" s="20"/>
    </row>
    <row r="144" spans="17:21" ht="12.5">
      <c r="Q144" s="14"/>
      <c r="R144" s="14"/>
      <c r="S144" s="14"/>
      <c r="T144" s="14"/>
      <c r="U144" s="14"/>
    </row>
    <row r="145" spans="17:21" ht="12.5">
      <c r="Q145" s="20"/>
      <c r="R145" s="20"/>
      <c r="S145" s="20"/>
      <c r="T145" s="20"/>
      <c r="U145" s="20"/>
    </row>
    <row r="146" spans="17:21" ht="12.5">
      <c r="Q146" s="11"/>
      <c r="R146" s="11"/>
      <c r="S146" s="11"/>
      <c r="T146" s="11"/>
      <c r="U146" s="11"/>
    </row>
    <row r="147" spans="17:21" ht="12.5">
      <c r="Q147" s="20"/>
      <c r="R147" s="20"/>
      <c r="S147" s="20"/>
      <c r="T147" s="20"/>
      <c r="U147" s="20"/>
    </row>
    <row r="148" spans="17:21" ht="12.5">
      <c r="Q148" s="11"/>
      <c r="R148" s="11"/>
      <c r="S148" s="11"/>
      <c r="T148" s="11"/>
      <c r="U148" s="11"/>
    </row>
    <row r="149" spans="17:21" ht="15" customHeight="1">
      <c r="Q149" s="11"/>
      <c r="R149" s="11"/>
      <c r="S149" s="11"/>
      <c r="T149" s="11"/>
      <c r="U149" s="11"/>
    </row>
    <row r="150" spans="17:21" ht="12.5">
      <c r="Q150" s="11"/>
      <c r="R150" s="11"/>
      <c r="S150" s="11"/>
      <c r="T150" s="11"/>
      <c r="U150" s="11"/>
    </row>
    <row r="151" spans="17:21" ht="12.5">
      <c r="Q151" s="11"/>
      <c r="R151" s="11"/>
      <c r="S151" s="11"/>
      <c r="T151" s="11"/>
      <c r="U151" s="11"/>
    </row>
    <row r="152" spans="17:21" ht="12.5">
      <c r="Q152" s="11"/>
      <c r="R152" s="11"/>
      <c r="S152" s="11"/>
      <c r="T152" s="11"/>
      <c r="U152" s="11"/>
    </row>
    <row r="153" spans="17:21" ht="12.5">
      <c r="Q153" s="11"/>
      <c r="R153" s="11"/>
      <c r="S153" s="11"/>
      <c r="T153" s="11"/>
      <c r="U153" s="11"/>
    </row>
    <row r="154" spans="17:21" ht="12.5">
      <c r="Q154" s="11"/>
      <c r="R154" s="11"/>
      <c r="S154" s="11"/>
      <c r="T154" s="11"/>
      <c r="U154" s="11"/>
    </row>
    <row r="155" spans="17:21" ht="12.5">
      <c r="Q155" s="22"/>
      <c r="R155" s="22"/>
      <c r="S155" s="22"/>
      <c r="T155" s="22"/>
      <c r="U155" s="22"/>
    </row>
    <row r="156" spans="17:21" ht="12.5">
      <c r="Q156" s="11"/>
      <c r="R156" s="11"/>
      <c r="S156" s="11"/>
      <c r="T156" s="11"/>
      <c r="U156" s="11"/>
    </row>
    <row r="157" spans="17:21" ht="12.5">
      <c r="Q157" s="11"/>
      <c r="R157" s="11"/>
      <c r="S157" s="11"/>
      <c r="T157" s="11"/>
      <c r="U157" s="11"/>
    </row>
    <row r="158" spans="17:21" ht="12.5">
      <c r="Q158" s="11"/>
      <c r="R158" s="11"/>
      <c r="S158" s="11"/>
      <c r="T158" s="11"/>
      <c r="U158" s="11"/>
    </row>
    <row r="159" spans="17:21" ht="12.5">
      <c r="Q159" s="11"/>
      <c r="R159" s="11"/>
      <c r="S159" s="11"/>
      <c r="T159" s="11"/>
      <c r="U159" s="11"/>
    </row>
    <row r="160" spans="17:21" ht="12.5">
      <c r="Q160" s="11"/>
      <c r="R160" s="11"/>
      <c r="S160" s="11"/>
      <c r="T160" s="11"/>
      <c r="U160" s="11"/>
    </row>
    <row r="161" spans="17:21" ht="12.5">
      <c r="Q161" s="11"/>
      <c r="R161" s="11"/>
      <c r="S161" s="11"/>
      <c r="T161" s="11"/>
      <c r="U161" s="11"/>
    </row>
    <row r="162" spans="17:21" ht="12.5">
      <c r="Q162" s="11"/>
      <c r="R162" s="11"/>
      <c r="S162" s="11"/>
      <c r="T162" s="11"/>
      <c r="U162" s="11"/>
    </row>
    <row r="163" spans="17:21" ht="12.5">
      <c r="Q163" s="20"/>
      <c r="R163" s="20"/>
      <c r="S163" s="20"/>
      <c r="T163" s="20"/>
      <c r="U163" s="20"/>
    </row>
    <row r="164" spans="17:21" ht="12.5">
      <c r="Q164" s="11"/>
      <c r="R164" s="11"/>
      <c r="S164" s="11"/>
      <c r="T164" s="11"/>
      <c r="U164" s="11"/>
    </row>
    <row r="165" spans="17:21" ht="12.5">
      <c r="Q165" s="11"/>
      <c r="R165" s="11"/>
      <c r="S165" s="11"/>
      <c r="T165" s="11"/>
      <c r="U165" s="11"/>
    </row>
    <row r="166" spans="17:21" ht="12.5">
      <c r="Q166" s="20"/>
      <c r="R166" s="20"/>
      <c r="S166" s="20"/>
      <c r="T166" s="20"/>
      <c r="U166" s="20"/>
    </row>
    <row r="167" spans="17:21" ht="14.25" customHeight="1">
      <c r="Q167" s="11"/>
      <c r="R167" s="11"/>
      <c r="S167" s="11"/>
      <c r="T167" s="11"/>
      <c r="U167" s="11"/>
    </row>
    <row r="168" spans="17:21" ht="12.5">
      <c r="Q168" s="11"/>
      <c r="R168" s="11"/>
      <c r="S168" s="11"/>
      <c r="T168" s="11"/>
      <c r="U168" s="11"/>
    </row>
    <row r="169" spans="17:21" ht="12.5">
      <c r="Q169" s="11"/>
      <c r="R169" s="11"/>
      <c r="S169" s="11"/>
      <c r="T169" s="11"/>
      <c r="U169" s="11"/>
    </row>
    <row r="170" spans="17:21" ht="12.5">
      <c r="Q170" s="11"/>
      <c r="R170" s="11"/>
      <c r="S170" s="11"/>
      <c r="T170" s="11"/>
      <c r="U170" s="11"/>
    </row>
    <row r="171" spans="17:21" ht="12.5">
      <c r="Q171" s="11"/>
      <c r="R171" s="11"/>
      <c r="S171" s="11"/>
      <c r="T171" s="11"/>
      <c r="U171" s="11"/>
    </row>
    <row r="172" spans="17:21" ht="12.5">
      <c r="Q172" s="20"/>
      <c r="R172" s="20"/>
      <c r="S172" s="20"/>
      <c r="T172" s="20"/>
      <c r="U172" s="20"/>
    </row>
    <row r="173" spans="17:21" ht="12.5">
      <c r="Q173" s="11"/>
      <c r="R173" s="11"/>
      <c r="S173" s="11"/>
      <c r="T173" s="11"/>
      <c r="U173" s="11"/>
    </row>
    <row r="174" spans="17:21" ht="12.5">
      <c r="Q174" s="11"/>
      <c r="R174" s="11"/>
      <c r="S174" s="11"/>
      <c r="T174" s="11"/>
      <c r="U174" s="11"/>
    </row>
    <row r="175" spans="17:21" ht="12.5">
      <c r="Q175" s="11"/>
      <c r="R175" s="11"/>
      <c r="S175" s="11"/>
      <c r="T175" s="11"/>
      <c r="U175" s="11"/>
    </row>
    <row r="176" spans="17:21" ht="15.75" customHeight="1">
      <c r="Q176" s="11"/>
      <c r="R176" s="11"/>
      <c r="S176" s="11"/>
      <c r="T176" s="11"/>
      <c r="U176" s="11"/>
    </row>
    <row r="177" spans="17:21" ht="12.5">
      <c r="Q177" s="20"/>
      <c r="R177" s="20"/>
      <c r="S177" s="20"/>
      <c r="T177" s="20"/>
      <c r="U177" s="20"/>
    </row>
    <row r="178" spans="17:21" ht="12.5">
      <c r="Q178" s="20"/>
      <c r="R178" s="20"/>
      <c r="S178" s="20"/>
      <c r="T178" s="20"/>
      <c r="U178" s="20"/>
    </row>
    <row r="179" spans="17:21" ht="12.5">
      <c r="Q179" s="11"/>
      <c r="R179" s="11"/>
      <c r="S179" s="11"/>
      <c r="T179" s="11"/>
      <c r="U179" s="11"/>
    </row>
    <row r="180" spans="17:21" ht="12.5">
      <c r="Q180" s="11"/>
      <c r="R180" s="11"/>
      <c r="S180" s="11"/>
      <c r="T180" s="11"/>
      <c r="U180" s="11"/>
    </row>
    <row r="181" spans="17:21" ht="12.5">
      <c r="Q181" s="11"/>
      <c r="R181" s="11"/>
      <c r="S181" s="11"/>
      <c r="T181" s="11"/>
      <c r="U181" s="11"/>
    </row>
    <row r="182" spans="17:21" ht="12.5">
      <c r="Q182" s="11"/>
      <c r="R182" s="11"/>
      <c r="S182" s="11"/>
      <c r="T182" s="11"/>
      <c r="U182" s="11"/>
    </row>
    <row r="183" spans="17:21" ht="12.5">
      <c r="Q183" s="20"/>
      <c r="R183" s="20"/>
      <c r="S183" s="20"/>
      <c r="T183" s="20"/>
      <c r="U183" s="20"/>
    </row>
    <row r="184" spans="17:21" ht="12.5">
      <c r="Q184" s="11"/>
      <c r="R184" s="11"/>
      <c r="S184" s="11"/>
      <c r="T184" s="11"/>
      <c r="U184" s="11"/>
    </row>
    <row r="185" spans="17:21" ht="12.5">
      <c r="Q185" s="20"/>
      <c r="R185" s="20"/>
      <c r="S185" s="20"/>
      <c r="T185" s="20"/>
      <c r="U185" s="20"/>
    </row>
    <row r="186" spans="17:21" ht="12.5">
      <c r="Q186" s="11"/>
      <c r="R186" s="11"/>
      <c r="S186" s="11"/>
      <c r="T186" s="11"/>
      <c r="U186" s="11"/>
    </row>
    <row r="187" spans="17:21" ht="12.5">
      <c r="Q187" s="14"/>
      <c r="R187" s="14"/>
      <c r="S187" s="14"/>
      <c r="T187" s="14"/>
      <c r="U187" s="14"/>
    </row>
    <row r="188" spans="17:21" ht="12.5">
      <c r="Q188" s="20"/>
      <c r="R188" s="20"/>
      <c r="S188" s="20"/>
      <c r="T188" s="20"/>
      <c r="U188" s="20"/>
    </row>
    <row r="189" spans="17:21" ht="12.75" customHeight="1">
      <c r="Q189" s="11"/>
      <c r="R189" s="11"/>
      <c r="S189" s="11"/>
      <c r="T189" s="11"/>
      <c r="U189" s="11"/>
    </row>
    <row r="190" spans="17:21" ht="12.5">
      <c r="Q190" s="11"/>
      <c r="R190" s="11"/>
      <c r="S190" s="11"/>
      <c r="T190" s="11"/>
      <c r="U190" s="11"/>
    </row>
    <row r="191" spans="17:21" ht="13.5" customHeight="1">
      <c r="Q191" s="11"/>
      <c r="R191" s="11"/>
      <c r="S191" s="11"/>
      <c r="T191" s="11"/>
      <c r="U191" s="11"/>
    </row>
    <row r="192" spans="17:21" ht="12.5">
      <c r="Q192" s="20"/>
      <c r="R192" s="20"/>
      <c r="S192" s="20"/>
      <c r="T192" s="20"/>
      <c r="U192" s="20"/>
    </row>
    <row r="193" spans="17:21" ht="12.5">
      <c r="Q193" s="11"/>
      <c r="R193" s="11"/>
      <c r="S193" s="11"/>
      <c r="T193" s="11"/>
      <c r="U193" s="11"/>
    </row>
    <row r="194" spans="17:21" ht="12.5">
      <c r="Q194" s="11"/>
      <c r="R194" s="11"/>
      <c r="S194" s="11"/>
      <c r="T194" s="11"/>
      <c r="U194" s="11"/>
    </row>
    <row r="195" spans="17:21" ht="12.5">
      <c r="Q195" s="20"/>
      <c r="R195" s="20"/>
      <c r="S195" s="20"/>
      <c r="T195" s="20"/>
      <c r="U195" s="20"/>
    </row>
    <row r="196" spans="17:21" ht="12.5">
      <c r="Q196" s="11"/>
      <c r="R196" s="11"/>
      <c r="S196" s="11"/>
      <c r="T196" s="11"/>
      <c r="U196" s="11"/>
    </row>
    <row r="197" spans="17:21" ht="12.5">
      <c r="Q197" s="20"/>
      <c r="R197" s="20"/>
      <c r="S197" s="20"/>
      <c r="T197" s="20"/>
      <c r="U197" s="20"/>
    </row>
    <row r="198" spans="17:21" ht="12.5">
      <c r="Q198" s="11"/>
      <c r="R198" s="11"/>
      <c r="S198" s="11"/>
      <c r="T198" s="11"/>
      <c r="U198" s="11"/>
    </row>
    <row r="199" spans="17:21" ht="12.5">
      <c r="Q199" s="11"/>
      <c r="R199" s="11"/>
      <c r="S199" s="11"/>
      <c r="T199" s="11"/>
      <c r="U199" s="11"/>
    </row>
    <row r="200" spans="17:21" ht="12.5">
      <c r="Q200" s="20"/>
      <c r="R200" s="20"/>
      <c r="S200" s="20"/>
      <c r="T200" s="20"/>
      <c r="U200" s="20"/>
    </row>
    <row r="201" spans="17:21" ht="12.5">
      <c r="Q201" s="11"/>
      <c r="R201" s="11"/>
      <c r="S201" s="11"/>
      <c r="T201" s="11"/>
      <c r="U201" s="11"/>
    </row>
    <row r="202" spans="17:21" ht="12.5">
      <c r="Q202" s="11"/>
      <c r="R202" s="11"/>
      <c r="S202" s="11"/>
      <c r="T202" s="11"/>
      <c r="U202" s="11"/>
    </row>
    <row r="203" spans="17:21" ht="12.5">
      <c r="Q203" s="11"/>
      <c r="R203" s="11"/>
      <c r="S203" s="11"/>
      <c r="T203" s="11"/>
      <c r="U203" s="11"/>
    </row>
    <row r="204" spans="17:21" ht="12.5">
      <c r="Q204" s="20"/>
      <c r="R204" s="20"/>
      <c r="S204" s="20"/>
      <c r="T204" s="20"/>
      <c r="U204" s="20"/>
    </row>
    <row r="205" spans="17:21" ht="12.5">
      <c r="Q205" s="20"/>
      <c r="R205" s="20"/>
      <c r="S205" s="20"/>
      <c r="T205" s="20"/>
      <c r="U205" s="20"/>
    </row>
    <row r="206" spans="17:21" ht="12.5">
      <c r="Q206" s="22"/>
      <c r="R206" s="22"/>
      <c r="S206" s="22"/>
      <c r="T206" s="22"/>
      <c r="U206" s="22"/>
    </row>
    <row r="207" spans="17:21" ht="12.5">
      <c r="Q207" s="11"/>
      <c r="R207" s="11"/>
      <c r="S207" s="11"/>
      <c r="T207" s="11"/>
      <c r="U207" s="11"/>
    </row>
    <row r="208" spans="17:21" ht="12.5">
      <c r="Q208" s="11"/>
      <c r="R208" s="11"/>
      <c r="S208" s="11"/>
      <c r="T208" s="11"/>
      <c r="U208" s="11"/>
    </row>
    <row r="209" spans="17:21" ht="12.5">
      <c r="Q209" s="11"/>
      <c r="R209" s="11"/>
      <c r="S209" s="11"/>
      <c r="T209" s="11"/>
      <c r="U209" s="11"/>
    </row>
    <row r="210" spans="17:21" ht="12.5">
      <c r="Q210" s="11"/>
      <c r="R210" s="11"/>
      <c r="S210" s="11"/>
      <c r="T210" s="11"/>
      <c r="U210" s="11"/>
    </row>
    <row r="211" spans="17:21" ht="12.5">
      <c r="Q211" s="20"/>
      <c r="R211" s="20"/>
      <c r="S211" s="20"/>
      <c r="T211" s="20"/>
      <c r="U211" s="20"/>
    </row>
    <row r="212" spans="17:21" ht="12.5">
      <c r="Q212" s="11"/>
      <c r="R212" s="11"/>
      <c r="S212" s="11"/>
      <c r="T212" s="11"/>
      <c r="U212" s="11"/>
    </row>
    <row r="213" spans="17:21" ht="12.5">
      <c r="Q213" s="11"/>
      <c r="R213" s="11"/>
      <c r="S213" s="11"/>
      <c r="T213" s="11"/>
      <c r="U213" s="11"/>
    </row>
    <row r="214" spans="17:21" ht="12.5">
      <c r="Q214" s="11"/>
      <c r="R214" s="11"/>
      <c r="S214" s="11"/>
      <c r="T214" s="11"/>
      <c r="U214" s="11"/>
    </row>
    <row r="215" spans="17:21" ht="12.5">
      <c r="Q215" s="11"/>
      <c r="R215" s="11"/>
      <c r="S215" s="11"/>
      <c r="T215" s="11"/>
      <c r="U215" s="11"/>
    </row>
    <row r="216" spans="17:21" ht="12.5">
      <c r="Q216" s="11"/>
      <c r="R216" s="11"/>
      <c r="S216" s="11"/>
      <c r="T216" s="11"/>
      <c r="U216" s="11"/>
    </row>
    <row r="217" spans="17:21" ht="12.5">
      <c r="Q217" s="11"/>
      <c r="R217" s="11"/>
      <c r="S217" s="11"/>
      <c r="T217" s="11"/>
      <c r="U217" s="11"/>
    </row>
    <row r="218" spans="17:21" ht="12.5">
      <c r="Q218" s="20"/>
      <c r="R218" s="20"/>
      <c r="S218" s="20"/>
      <c r="T218" s="20"/>
      <c r="U218" s="20"/>
    </row>
    <row r="219" spans="17:21" ht="12.5">
      <c r="Q219" s="11"/>
      <c r="R219" s="11"/>
      <c r="S219" s="11"/>
      <c r="T219" s="11"/>
      <c r="U219" s="11"/>
    </row>
    <row r="220" spans="17:21" ht="12.5">
      <c r="Q220" s="20"/>
      <c r="R220" s="20"/>
      <c r="S220" s="20"/>
      <c r="T220" s="20"/>
      <c r="U220" s="20"/>
    </row>
    <row r="221" spans="17:21" ht="12.5">
      <c r="Q221" s="20"/>
      <c r="R221" s="20"/>
      <c r="S221" s="20"/>
      <c r="T221" s="20"/>
      <c r="U221" s="20"/>
    </row>
    <row r="222" spans="17:21" ht="12.5">
      <c r="Q222" s="11"/>
      <c r="R222" s="11"/>
      <c r="S222" s="11"/>
      <c r="T222" s="11"/>
      <c r="U222" s="11"/>
    </row>
    <row r="223" spans="17:21" ht="12.5">
      <c r="Q223" s="11"/>
      <c r="R223" s="11"/>
      <c r="S223" s="11"/>
      <c r="T223" s="11"/>
      <c r="U223" s="11"/>
    </row>
    <row r="224" spans="17:21" ht="12.5">
      <c r="Q224" s="11"/>
      <c r="R224" s="11"/>
      <c r="S224" s="11"/>
      <c r="T224" s="11"/>
      <c r="U224" s="11"/>
    </row>
    <row r="225" spans="17:21" ht="12.5">
      <c r="Q225" s="11"/>
      <c r="R225" s="11"/>
      <c r="S225" s="11"/>
      <c r="T225" s="11"/>
      <c r="U225" s="11"/>
    </row>
    <row r="226" spans="17:21" ht="12.5">
      <c r="Q226" s="20"/>
      <c r="R226" s="20"/>
      <c r="S226" s="20"/>
      <c r="T226" s="20"/>
      <c r="U226" s="20"/>
    </row>
    <row r="227" spans="17:21" ht="12.5">
      <c r="Q227" s="11"/>
      <c r="R227" s="11"/>
      <c r="S227" s="11"/>
      <c r="T227" s="11"/>
      <c r="U227" s="11"/>
    </row>
    <row r="228" spans="17:21" ht="12.5">
      <c r="Q228" s="20"/>
      <c r="R228" s="20"/>
      <c r="S228" s="20"/>
      <c r="T228" s="20"/>
      <c r="U228" s="20"/>
    </row>
    <row r="229" spans="17:21" ht="12.5">
      <c r="Q229" s="11"/>
      <c r="R229" s="11"/>
      <c r="S229" s="11"/>
      <c r="T229" s="11"/>
      <c r="U229" s="11"/>
    </row>
    <row r="230" spans="17:21" ht="12.5">
      <c r="Q230" s="11"/>
      <c r="R230" s="11"/>
      <c r="S230" s="11"/>
      <c r="T230" s="11"/>
      <c r="U230" s="11"/>
    </row>
    <row r="231" spans="17:21" ht="12.5">
      <c r="Q231" s="11"/>
      <c r="R231" s="11"/>
      <c r="S231" s="11"/>
      <c r="T231" s="11"/>
      <c r="U231" s="11"/>
    </row>
    <row r="232" spans="17:21" ht="12.5">
      <c r="Q232" s="11"/>
      <c r="R232" s="11"/>
      <c r="S232" s="11"/>
      <c r="T232" s="11"/>
      <c r="U232" s="11"/>
    </row>
    <row r="233" spans="17:21" ht="12.5">
      <c r="Q233" s="11"/>
      <c r="R233" s="11"/>
      <c r="S233" s="11"/>
      <c r="T233" s="11"/>
      <c r="U233" s="11"/>
    </row>
    <row r="234" spans="17:21" ht="12.5">
      <c r="Q234" s="20"/>
      <c r="R234" s="20"/>
      <c r="S234" s="20"/>
      <c r="T234" s="20"/>
      <c r="U234" s="20"/>
    </row>
    <row r="235" spans="17:21" ht="12.5">
      <c r="Q235" s="11"/>
      <c r="R235" s="11"/>
      <c r="S235" s="11"/>
      <c r="T235" s="11"/>
      <c r="U235" s="11"/>
    </row>
    <row r="236" spans="17:21" ht="14">
      <c r="Q236" s="21"/>
      <c r="R236" s="21"/>
      <c r="S236" s="21"/>
      <c r="T236" s="21"/>
      <c r="U236" s="21"/>
    </row>
    <row r="237" spans="17:21" ht="16.5" customHeight="1">
      <c r="Q237" s="11"/>
      <c r="R237" s="11"/>
      <c r="S237" s="11"/>
      <c r="T237" s="11"/>
      <c r="U237" s="11"/>
    </row>
    <row r="238" spans="17:21" ht="12.5">
      <c r="Q238" s="11"/>
      <c r="R238" s="11"/>
      <c r="S238" s="11"/>
      <c r="T238" s="11"/>
      <c r="U238" s="11"/>
    </row>
    <row r="239" spans="17:21" ht="12.5">
      <c r="Q239" s="11"/>
      <c r="R239" s="11"/>
      <c r="S239" s="11"/>
      <c r="T239" s="11"/>
      <c r="U239" s="11"/>
    </row>
    <row r="240" spans="17:21" ht="12.5">
      <c r="Q240" s="11"/>
      <c r="R240" s="11"/>
      <c r="S240" s="11"/>
      <c r="T240" s="11"/>
      <c r="U240" s="11"/>
    </row>
    <row r="241" spans="17:21" ht="12.5">
      <c r="Q241" s="11"/>
      <c r="R241" s="11"/>
      <c r="S241" s="11"/>
      <c r="T241" s="11"/>
      <c r="U241" s="11"/>
    </row>
    <row r="242" spans="17:21" ht="12.5">
      <c r="Q242" s="11"/>
      <c r="R242" s="11"/>
      <c r="S242" s="11"/>
      <c r="T242" s="11"/>
      <c r="U242" s="11"/>
    </row>
    <row r="243" spans="17:21" ht="12.5">
      <c r="Q243" s="11"/>
      <c r="R243" s="11"/>
      <c r="S243" s="11"/>
      <c r="T243" s="11"/>
      <c r="U243" s="11"/>
    </row>
    <row r="244" spans="17:21" ht="12.5">
      <c r="Q244" s="20"/>
      <c r="R244" s="20"/>
      <c r="S244" s="20"/>
      <c r="T244" s="20"/>
      <c r="U244" s="20"/>
    </row>
    <row r="245" spans="17:21" ht="12.5">
      <c r="Q245" s="11"/>
      <c r="R245" s="11"/>
      <c r="S245" s="11"/>
      <c r="T245" s="11"/>
      <c r="U245" s="11"/>
    </row>
    <row r="246" spans="17:21" ht="12.5">
      <c r="Q246" s="20"/>
      <c r="R246" s="20"/>
      <c r="S246" s="20"/>
      <c r="T246" s="20"/>
      <c r="U246" s="20"/>
    </row>
    <row r="247" spans="17:21" ht="12.5">
      <c r="Q247" s="11"/>
      <c r="R247" s="11"/>
      <c r="S247" s="11"/>
      <c r="T247" s="11"/>
      <c r="U247" s="11"/>
    </row>
    <row r="248" spans="17:21" ht="12.5">
      <c r="Q248" s="20"/>
      <c r="R248" s="20"/>
      <c r="S248" s="20"/>
      <c r="T248" s="20"/>
      <c r="U248" s="20"/>
    </row>
    <row r="249" spans="17:21" ht="12.5">
      <c r="Q249" s="11"/>
      <c r="R249" s="11"/>
      <c r="S249" s="11"/>
      <c r="T249" s="11"/>
      <c r="U249" s="11"/>
    </row>
    <row r="250" spans="17:21" ht="12.5">
      <c r="Q250" s="11"/>
      <c r="R250" s="11"/>
      <c r="S250" s="11"/>
      <c r="T250" s="11"/>
      <c r="U250" s="11"/>
    </row>
    <row r="251" spans="17:21" ht="12.5">
      <c r="Q251" s="11"/>
      <c r="R251" s="11"/>
      <c r="S251" s="11"/>
      <c r="T251" s="11"/>
      <c r="U251" s="11"/>
    </row>
    <row r="252" spans="17:21" ht="12.5">
      <c r="Q252" s="11"/>
      <c r="R252" s="11"/>
      <c r="S252" s="11"/>
      <c r="T252" s="11"/>
      <c r="U252" s="11"/>
    </row>
    <row r="253" spans="17:21" ht="12.5">
      <c r="Q253" s="20"/>
      <c r="R253" s="20"/>
      <c r="S253" s="20"/>
      <c r="T253" s="20"/>
      <c r="U253" s="20"/>
    </row>
    <row r="254" spans="17:21" ht="12.5">
      <c r="Q254" s="20"/>
      <c r="R254" s="20"/>
      <c r="S254" s="20"/>
      <c r="T254" s="20"/>
      <c r="U254" s="20"/>
    </row>
    <row r="255" spans="17:21" ht="12.5">
      <c r="Q255" s="20"/>
      <c r="R255" s="20"/>
      <c r="S255" s="20"/>
      <c r="T255" s="20"/>
      <c r="U255" s="20"/>
    </row>
    <row r="256" spans="17:21" ht="12.5">
      <c r="Q256" s="11"/>
      <c r="R256" s="11"/>
      <c r="S256" s="11"/>
      <c r="T256" s="11"/>
      <c r="U256" s="11"/>
    </row>
    <row r="257" spans="17:21" ht="12.5">
      <c r="Q257" s="11"/>
      <c r="R257" s="11"/>
      <c r="S257" s="11"/>
      <c r="T257" s="11"/>
      <c r="U257" s="11"/>
    </row>
    <row r="258" spans="17:21" ht="12.5">
      <c r="Q258" s="11"/>
      <c r="R258" s="11"/>
      <c r="S258" s="11"/>
      <c r="T258" s="11"/>
      <c r="U258" s="11"/>
    </row>
    <row r="259" spans="17:21" ht="12.5">
      <c r="Q259" s="11"/>
      <c r="R259" s="11"/>
      <c r="S259" s="11"/>
      <c r="T259" s="11"/>
      <c r="U259" s="11"/>
    </row>
    <row r="260" spans="17:21" ht="12.5">
      <c r="Q260" s="11"/>
      <c r="R260" s="11"/>
      <c r="S260" s="11"/>
      <c r="T260" s="11"/>
      <c r="U260" s="11"/>
    </row>
    <row r="261" spans="17:21" ht="15.75" customHeight="1">
      <c r="Q261" s="11"/>
      <c r="R261" s="11"/>
      <c r="S261" s="11"/>
      <c r="T261" s="11"/>
      <c r="U261" s="11"/>
    </row>
    <row r="262" spans="17:21" ht="12.5">
      <c r="Q262" s="11"/>
      <c r="R262" s="11"/>
      <c r="S262" s="11"/>
      <c r="T262" s="11"/>
      <c r="U262" s="11"/>
    </row>
    <row r="263" spans="17:21" ht="12.5">
      <c r="Q263" s="11"/>
      <c r="R263" s="11"/>
      <c r="S263" s="11"/>
      <c r="T263" s="11"/>
      <c r="U263" s="11"/>
    </row>
    <row r="264" spans="17:21" ht="12.5">
      <c r="Q264" s="11"/>
      <c r="R264" s="11"/>
      <c r="S264" s="11"/>
      <c r="T264" s="11"/>
      <c r="U264" s="11"/>
    </row>
    <row r="265" spans="17:21" ht="12.5">
      <c r="Q265" s="11"/>
      <c r="R265" s="11"/>
      <c r="S265" s="11"/>
      <c r="T265" s="11"/>
      <c r="U265" s="11"/>
    </row>
    <row r="266" spans="17:21" ht="12.5">
      <c r="Q266" s="11"/>
      <c r="R266" s="11"/>
      <c r="S266" s="11"/>
      <c r="T266" s="11"/>
      <c r="U266" s="11"/>
    </row>
    <row r="267" spans="17:21" ht="12.5">
      <c r="Q267" s="11"/>
      <c r="R267" s="11"/>
      <c r="S267" s="11"/>
      <c r="T267" s="11"/>
      <c r="U267" s="11"/>
    </row>
    <row r="268" spans="17:21" ht="12.5">
      <c r="Q268" s="20"/>
      <c r="R268" s="20"/>
      <c r="S268" s="20"/>
      <c r="T268" s="20"/>
      <c r="U268" s="20"/>
    </row>
    <row r="269" spans="17:21" ht="12.5">
      <c r="Q269" s="20"/>
      <c r="R269" s="20"/>
      <c r="S269" s="20"/>
      <c r="T269" s="20"/>
      <c r="U269" s="20"/>
    </row>
    <row r="270" spans="17:21" ht="12.5">
      <c r="Q270" s="11"/>
      <c r="R270" s="11"/>
      <c r="S270" s="11"/>
      <c r="T270" s="11"/>
      <c r="U270" s="11"/>
    </row>
    <row r="271" spans="17:21" ht="12.5">
      <c r="Q271" s="11"/>
      <c r="R271" s="11"/>
      <c r="S271" s="11"/>
      <c r="T271" s="11"/>
      <c r="U271" s="11"/>
    </row>
    <row r="272" spans="17:21" ht="12.5">
      <c r="Q272" s="11"/>
      <c r="R272" s="11"/>
      <c r="S272" s="11"/>
      <c r="T272" s="11"/>
      <c r="U272" s="11"/>
    </row>
    <row r="273" spans="17:21" ht="12.5">
      <c r="Q273" s="11"/>
      <c r="R273" s="11"/>
      <c r="S273" s="11"/>
      <c r="T273" s="11"/>
      <c r="U273" s="11"/>
    </row>
    <row r="274" spans="17:21" ht="12.5">
      <c r="Q274" s="11"/>
      <c r="R274" s="11"/>
      <c r="S274" s="11"/>
      <c r="T274" s="11"/>
      <c r="U274" s="11"/>
    </row>
    <row r="275" spans="17:21" ht="12.5">
      <c r="Q275" s="11"/>
      <c r="R275" s="11"/>
      <c r="S275" s="11"/>
      <c r="T275" s="11"/>
      <c r="U275" s="11"/>
    </row>
    <row r="276" spans="17:21" ht="12.5">
      <c r="Q276" s="20"/>
      <c r="R276" s="20"/>
      <c r="S276" s="20"/>
      <c r="T276" s="20"/>
      <c r="U276" s="20"/>
    </row>
    <row r="277" spans="17:21" ht="12.5">
      <c r="Q277" s="11"/>
      <c r="R277" s="11"/>
      <c r="S277" s="11"/>
      <c r="T277" s="11"/>
      <c r="U277" s="11"/>
    </row>
    <row r="278" spans="17:21" ht="12.5">
      <c r="Q278" s="11"/>
      <c r="R278" s="11"/>
      <c r="S278" s="11"/>
      <c r="T278" s="11"/>
      <c r="U278" s="11"/>
    </row>
    <row r="279" spans="17:21" ht="12.5">
      <c r="Q279" s="11"/>
      <c r="R279" s="11"/>
      <c r="S279" s="11"/>
      <c r="T279" s="11"/>
      <c r="U279" s="11"/>
    </row>
    <row r="280" spans="17:21" ht="12.5">
      <c r="Q280" s="20"/>
      <c r="R280" s="20"/>
      <c r="S280" s="20"/>
      <c r="T280" s="20"/>
      <c r="U280" s="20"/>
    </row>
    <row r="281" spans="17:21" ht="12.5">
      <c r="Q281" s="11"/>
      <c r="R281" s="11"/>
      <c r="S281" s="11"/>
      <c r="T281" s="11"/>
      <c r="U281" s="11"/>
    </row>
    <row r="282" spans="17:21" ht="12.5">
      <c r="Q282" s="11"/>
      <c r="R282" s="11"/>
      <c r="S282" s="11"/>
      <c r="T282" s="11"/>
      <c r="U282" s="11"/>
    </row>
    <row r="283" spans="17:21" ht="12.5">
      <c r="Q283" s="11"/>
      <c r="R283" s="11"/>
      <c r="S283" s="11"/>
      <c r="T283" s="11"/>
      <c r="U283" s="11"/>
    </row>
    <row r="284" spans="17:21" ht="12.5">
      <c r="Q284" s="11"/>
      <c r="R284" s="11"/>
      <c r="S284" s="11"/>
      <c r="T284" s="11"/>
      <c r="U284" s="11"/>
    </row>
    <row r="285" spans="17:21" ht="12.5">
      <c r="Q285" s="11"/>
      <c r="R285" s="11"/>
      <c r="S285" s="11"/>
      <c r="T285" s="11"/>
      <c r="U285" s="11"/>
    </row>
    <row r="286" spans="17:21" ht="12.5">
      <c r="Q286" s="20"/>
      <c r="R286" s="20"/>
      <c r="S286" s="20"/>
      <c r="T286" s="20"/>
      <c r="U286" s="20"/>
    </row>
    <row r="287" spans="17:21" ht="12.5">
      <c r="Q287" s="11"/>
      <c r="R287" s="11"/>
      <c r="S287" s="11"/>
      <c r="T287" s="11"/>
      <c r="U287" s="11"/>
    </row>
    <row r="288" spans="17:21" ht="12.5">
      <c r="Q288" s="11"/>
      <c r="R288" s="11"/>
      <c r="S288" s="11"/>
      <c r="T288" s="11"/>
      <c r="U288" s="11"/>
    </row>
    <row r="289" spans="17:21" ht="12.5">
      <c r="Q289" s="11"/>
      <c r="R289" s="11"/>
      <c r="S289" s="11"/>
      <c r="T289" s="11"/>
      <c r="U289" s="11"/>
    </row>
    <row r="290" spans="17:21" ht="12.5">
      <c r="Q290" s="11"/>
      <c r="R290" s="11"/>
      <c r="S290" s="11"/>
      <c r="T290" s="11"/>
      <c r="U290" s="11"/>
    </row>
    <row r="291" spans="17:21" ht="12.5">
      <c r="Q291" s="11"/>
      <c r="R291" s="11"/>
      <c r="S291" s="11"/>
      <c r="T291" s="11"/>
      <c r="U291" s="11"/>
    </row>
    <row r="292" spans="17:21" ht="12.5">
      <c r="Q292" s="11"/>
      <c r="R292" s="11"/>
      <c r="S292" s="11"/>
      <c r="T292" s="11"/>
      <c r="U292" s="11"/>
    </row>
    <row r="293" spans="17:21" ht="12.5">
      <c r="Q293" s="20"/>
      <c r="R293" s="20"/>
      <c r="S293" s="20"/>
      <c r="T293" s="20"/>
      <c r="U293" s="20"/>
    </row>
    <row r="294" spans="17:21" ht="12.5">
      <c r="Q294" s="11"/>
      <c r="R294" s="11"/>
      <c r="S294" s="11"/>
      <c r="T294" s="11"/>
      <c r="U294" s="11"/>
    </row>
    <row r="295" spans="17:21" ht="12.5">
      <c r="Q295" s="11"/>
      <c r="R295" s="11"/>
      <c r="S295" s="11"/>
      <c r="T295" s="11"/>
      <c r="U295" s="11"/>
    </row>
    <row r="296" spans="17:21" ht="12.5">
      <c r="Q296" s="11"/>
      <c r="R296" s="11"/>
      <c r="S296" s="11"/>
      <c r="T296" s="11"/>
      <c r="U296" s="11"/>
    </row>
    <row r="297" spans="17:21" ht="12.5">
      <c r="Q297" s="11"/>
      <c r="R297" s="11"/>
      <c r="S297" s="11"/>
      <c r="T297" s="11"/>
      <c r="U297" s="11"/>
    </row>
    <row r="298" spans="17:21" ht="12.5">
      <c r="Q298" s="11"/>
      <c r="R298" s="11"/>
      <c r="S298" s="11"/>
      <c r="T298" s="11"/>
      <c r="U298" s="11"/>
    </row>
    <row r="299" spans="17:21" ht="12.5">
      <c r="Q299" s="11"/>
      <c r="R299" s="11"/>
      <c r="S299" s="11"/>
      <c r="T299" s="11"/>
      <c r="U299" s="11"/>
    </row>
    <row r="300" spans="17:21" ht="12.5">
      <c r="Q300" s="20"/>
      <c r="R300" s="20"/>
      <c r="S300" s="20"/>
      <c r="T300" s="20"/>
      <c r="U300" s="20"/>
    </row>
    <row r="301" spans="17:21" ht="12.5">
      <c r="Q301" s="11"/>
      <c r="R301" s="11"/>
      <c r="S301" s="11"/>
      <c r="T301" s="11"/>
      <c r="U301" s="11"/>
    </row>
    <row r="302" spans="17:21" ht="12.5">
      <c r="Q302" s="11"/>
      <c r="R302" s="11"/>
      <c r="S302" s="11"/>
      <c r="T302" s="11"/>
      <c r="U302" s="11"/>
    </row>
    <row r="303" spans="17:21" ht="12.5">
      <c r="Q303" s="11"/>
      <c r="R303" s="11"/>
      <c r="S303" s="11"/>
      <c r="T303" s="11"/>
      <c r="U303" s="11"/>
    </row>
    <row r="304" spans="17:21" ht="12.5">
      <c r="Q304" s="11"/>
      <c r="R304" s="11"/>
      <c r="S304" s="11"/>
      <c r="T304" s="11"/>
      <c r="U304" s="11"/>
    </row>
    <row r="305" spans="17:21" ht="12.5">
      <c r="Q305" s="20"/>
      <c r="R305" s="20"/>
      <c r="S305" s="20"/>
      <c r="T305" s="20"/>
      <c r="U305" s="20"/>
    </row>
    <row r="306" spans="17:21" ht="12.5">
      <c r="Q306" s="20"/>
      <c r="R306" s="20"/>
      <c r="S306" s="20"/>
      <c r="T306" s="20"/>
      <c r="U306" s="20"/>
    </row>
    <row r="307" spans="17:21" ht="12.5">
      <c r="Q307" s="20"/>
      <c r="R307" s="20"/>
      <c r="S307" s="20"/>
      <c r="T307" s="20"/>
      <c r="U307" s="20"/>
    </row>
    <row r="308" spans="17:21" ht="12.5">
      <c r="Q308" s="11"/>
      <c r="R308" s="11"/>
      <c r="S308" s="11"/>
      <c r="T308" s="11"/>
      <c r="U308" s="11"/>
    </row>
    <row r="309" spans="17:21" ht="12.5">
      <c r="Q309" s="22"/>
      <c r="R309" s="22"/>
      <c r="S309" s="22"/>
      <c r="T309" s="22"/>
      <c r="U309" s="22"/>
    </row>
    <row r="310" spans="17:21" ht="12.5">
      <c r="Q310" s="11"/>
      <c r="R310" s="11"/>
      <c r="S310" s="11"/>
      <c r="T310" s="11"/>
      <c r="U310" s="11"/>
    </row>
    <row r="311" spans="17:21" ht="12.5">
      <c r="Q311" s="11"/>
      <c r="R311" s="11"/>
      <c r="S311" s="11"/>
      <c r="T311" s="11"/>
      <c r="U311" s="11"/>
    </row>
    <row r="312" spans="17:21" ht="12.5">
      <c r="Q312" s="11"/>
      <c r="R312" s="11"/>
      <c r="S312" s="11"/>
      <c r="T312" s="11"/>
      <c r="U312" s="11"/>
    </row>
    <row r="313" spans="17:21" ht="12.5">
      <c r="Q313" s="20"/>
      <c r="R313" s="20"/>
      <c r="S313" s="20"/>
      <c r="T313" s="20"/>
      <c r="U313" s="20"/>
    </row>
    <row r="314" spans="17:21" ht="12.5">
      <c r="Q314" s="20"/>
      <c r="R314" s="20"/>
      <c r="S314" s="20"/>
      <c r="T314" s="20"/>
      <c r="U314" s="20"/>
    </row>
    <row r="315" spans="17:21" ht="12.5">
      <c r="Q315" s="20"/>
      <c r="R315" s="20"/>
      <c r="S315" s="20"/>
      <c r="T315" s="20"/>
      <c r="U315" s="20"/>
    </row>
    <row r="316" spans="17:21" ht="12.5">
      <c r="Q316" s="20"/>
      <c r="R316" s="20"/>
      <c r="S316" s="20"/>
      <c r="T316" s="20"/>
      <c r="U316" s="20"/>
    </row>
    <row r="317" spans="17:21" ht="12.5">
      <c r="Q317" s="11"/>
      <c r="R317" s="11"/>
      <c r="S317" s="11"/>
      <c r="T317" s="11"/>
      <c r="U317" s="11"/>
    </row>
    <row r="318" spans="17:21" ht="12.5">
      <c r="Q318" s="11"/>
      <c r="R318" s="11"/>
      <c r="S318" s="11"/>
      <c r="T318" s="11"/>
      <c r="U318" s="11"/>
    </row>
    <row r="319" spans="17:21" ht="12.5"/>
    <row r="320" spans="17:21" ht="12.5"/>
    <row r="321" ht="12.5"/>
    <row r="322" ht="12.5"/>
    <row r="323" ht="12.5"/>
    <row r="324" ht="12.5"/>
    <row r="325" ht="12.5"/>
    <row r="326" ht="12.5"/>
    <row r="327" ht="12.5"/>
    <row r="328" ht="12.5"/>
  </sheetData>
  <conditionalFormatting sqref="G1:G4">
    <cfRule type="cellIs" dxfId="12" priority="52" operator="greaterThanOrEqual">
      <formula>10000</formula>
    </cfRule>
    <cfRule type="cellIs" dxfId="11" priority="53" operator="greaterThanOrEqual">
      <formula>5000</formula>
    </cfRule>
  </conditionalFormatting>
  <conditionalFormatting sqref="G2:G4">
    <cfRule type="expression" dxfId="10" priority="56">
      <formula>AND($C2="10+ Years", $E2=0)</formula>
    </cfRule>
    <cfRule type="expression" dxfId="9" priority="57">
      <formula>AND($C2="5-10 Years", $E2=0)</formula>
    </cfRule>
  </conditionalFormatting>
  <conditionalFormatting sqref="H1:H4">
    <cfRule type="cellIs" dxfId="8" priority="41" operator="greaterThanOrEqual">
      <formula>7500</formula>
    </cfRule>
    <cfRule type="cellIs" dxfId="7" priority="42" operator="greaterThanOrEqual">
      <formula>2500</formula>
    </cfRule>
  </conditionalFormatting>
  <conditionalFormatting sqref="L1:L4">
    <cfRule type="containsBlanks" dxfId="6" priority="66">
      <formula>LEN(TRIM(L1))=0</formula>
    </cfRule>
  </conditionalFormatting>
  <conditionalFormatting sqref="N1:N4">
    <cfRule type="cellIs" dxfId="5" priority="48" operator="between">
      <formula>0.406</formula>
      <formula>0.75</formula>
    </cfRule>
    <cfRule type="cellIs" dxfId="4" priority="60" operator="between">
      <formula>0.1</formula>
      <formula>0.203</formula>
    </cfRule>
    <cfRule type="cellIs" dxfId="3" priority="61" operator="between">
      <formula>0.001</formula>
      <formula>0.0999999999</formula>
    </cfRule>
  </conditionalFormatting>
  <conditionalFormatting sqref="N2:N4">
    <cfRule type="cellIs" dxfId="2" priority="4" operator="between">
      <formula>0.203</formula>
      <formula>0.406</formula>
    </cfRule>
    <cfRule type="cellIs" dxfId="1" priority="62" operator="greaterThanOrEqual">
      <formula>0.75</formula>
    </cfRule>
    <cfRule type="cellIs" dxfId="0" priority="63" operator="equal">
      <formula>0</formula>
    </cfRule>
  </conditionalFormatting>
  <dataValidations count="2">
    <dataValidation type="list" allowBlank="1" showErrorMessage="1" sqref="C2:C4" xr:uid="{00000000-0002-0000-0100-000000000000}">
      <formula1>"10+ Years,5-10 Years,2-5 Years,1st Year"</formula1>
    </dataValidation>
    <dataValidation type="list" allowBlank="1" showErrorMessage="1" sqref="F2" xr:uid="{00000000-0002-0000-0100-000002000000}">
      <formula1>"No,Yes"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339"/>
  <sheetViews>
    <sheetView workbookViewId="0"/>
  </sheetViews>
  <sheetFormatPr defaultColWidth="12.6328125" defaultRowHeight="15.75" customHeight="1"/>
  <sheetData>
    <row r="1" spans="1:1" ht="15.75" customHeight="1">
      <c r="A1" s="19" t="s">
        <v>301</v>
      </c>
    </row>
    <row r="2" spans="1:1" ht="15.75" customHeight="1">
      <c r="A2" s="19" t="s">
        <v>302</v>
      </c>
    </row>
    <row r="3" spans="1:1" ht="15.75" customHeight="1">
      <c r="A3" s="19" t="s">
        <v>286</v>
      </c>
    </row>
    <row r="4" spans="1:1" ht="15.75" customHeight="1">
      <c r="A4" s="19" t="s">
        <v>303</v>
      </c>
    </row>
    <row r="5" spans="1:1" ht="15.75" customHeight="1">
      <c r="A5" s="19" t="s">
        <v>304</v>
      </c>
    </row>
    <row r="6" spans="1:1" ht="15.75" customHeight="1">
      <c r="A6" s="19" t="s">
        <v>305</v>
      </c>
    </row>
    <row r="7" spans="1:1" ht="15.75" customHeight="1">
      <c r="A7" s="19" t="s">
        <v>306</v>
      </c>
    </row>
    <row r="8" spans="1:1" ht="15.75" customHeight="1">
      <c r="A8" s="19" t="s">
        <v>307</v>
      </c>
    </row>
    <row r="9" spans="1:1" ht="15.75" customHeight="1">
      <c r="A9" s="19" t="s">
        <v>308</v>
      </c>
    </row>
    <row r="10" spans="1:1" ht="15.75" customHeight="1">
      <c r="A10" s="19" t="s">
        <v>97</v>
      </c>
    </row>
    <row r="11" spans="1:1" ht="15.75" customHeight="1">
      <c r="A11" s="19" t="s">
        <v>294</v>
      </c>
    </row>
    <row r="12" spans="1:1" ht="15.75" customHeight="1">
      <c r="A12" s="19" t="s">
        <v>309</v>
      </c>
    </row>
    <row r="13" spans="1:1" ht="15.75" customHeight="1">
      <c r="A13" s="19" t="s">
        <v>177</v>
      </c>
    </row>
    <row r="14" spans="1:1" ht="15.75" customHeight="1">
      <c r="A14" s="19" t="s">
        <v>310</v>
      </c>
    </row>
    <row r="15" spans="1:1" ht="15.75" customHeight="1">
      <c r="A15" s="19" t="s">
        <v>120</v>
      </c>
    </row>
    <row r="16" spans="1:1" ht="15.75" customHeight="1">
      <c r="A16" s="19" t="s">
        <v>311</v>
      </c>
    </row>
    <row r="17" spans="1:1" ht="15.75" customHeight="1">
      <c r="A17" s="19" t="s">
        <v>312</v>
      </c>
    </row>
    <row r="18" spans="1:1" ht="15.75" customHeight="1">
      <c r="A18" s="19" t="s">
        <v>313</v>
      </c>
    </row>
    <row r="19" spans="1:1" ht="15.75" customHeight="1">
      <c r="A19" s="19" t="s">
        <v>314</v>
      </c>
    </row>
    <row r="20" spans="1:1" ht="15.75" customHeight="1">
      <c r="A20" s="19" t="s">
        <v>315</v>
      </c>
    </row>
    <row r="21" spans="1:1" ht="15.75" customHeight="1">
      <c r="A21" s="19" t="s">
        <v>316</v>
      </c>
    </row>
    <row r="22" spans="1:1" ht="15.75" customHeight="1">
      <c r="A22" s="19" t="s">
        <v>190</v>
      </c>
    </row>
    <row r="23" spans="1:1" ht="15.75" customHeight="1">
      <c r="A23" s="19" t="s">
        <v>263</v>
      </c>
    </row>
    <row r="24" spans="1:1" ht="12.5">
      <c r="A24" s="19" t="s">
        <v>241</v>
      </c>
    </row>
    <row r="25" spans="1:1" ht="12.5">
      <c r="A25" s="19" t="s">
        <v>317</v>
      </c>
    </row>
    <row r="26" spans="1:1" ht="12.5">
      <c r="A26" s="19" t="s">
        <v>318</v>
      </c>
    </row>
    <row r="27" spans="1:1" ht="12.5">
      <c r="A27" s="19" t="s">
        <v>319</v>
      </c>
    </row>
    <row r="28" spans="1:1" ht="12.5">
      <c r="A28" s="19" t="s">
        <v>296</v>
      </c>
    </row>
    <row r="29" spans="1:1" ht="12.5">
      <c r="A29" s="19" t="s">
        <v>320</v>
      </c>
    </row>
    <row r="30" spans="1:1" ht="12.5">
      <c r="A30" s="19" t="s">
        <v>321</v>
      </c>
    </row>
    <row r="31" spans="1:1" ht="12.5">
      <c r="A31" s="19" t="s">
        <v>322</v>
      </c>
    </row>
    <row r="32" spans="1:1" ht="12.5">
      <c r="A32" s="19" t="s">
        <v>323</v>
      </c>
    </row>
    <row r="33" spans="1:1" ht="12.5">
      <c r="A33" s="19" t="s">
        <v>324</v>
      </c>
    </row>
    <row r="34" spans="1:1" ht="12.5">
      <c r="A34" s="19" t="s">
        <v>48</v>
      </c>
    </row>
    <row r="35" spans="1:1" ht="12.5">
      <c r="A35" s="19" t="s">
        <v>325</v>
      </c>
    </row>
    <row r="36" spans="1:1" ht="12.5">
      <c r="A36" s="19" t="s">
        <v>326</v>
      </c>
    </row>
    <row r="37" spans="1:1" ht="12.5">
      <c r="A37" s="19" t="s">
        <v>78</v>
      </c>
    </row>
    <row r="38" spans="1:1" ht="12.5">
      <c r="A38" s="19" t="s">
        <v>96</v>
      </c>
    </row>
    <row r="39" spans="1:1" ht="12.5">
      <c r="A39" s="19" t="s">
        <v>99</v>
      </c>
    </row>
    <row r="40" spans="1:1" ht="12.5">
      <c r="A40" s="19" t="s">
        <v>203</v>
      </c>
    </row>
    <row r="41" spans="1:1" ht="12.5">
      <c r="A41" s="19" t="s">
        <v>176</v>
      </c>
    </row>
    <row r="42" spans="1:1" ht="12.5">
      <c r="A42" s="19" t="s">
        <v>99</v>
      </c>
    </row>
    <row r="43" spans="1:1" ht="12.5">
      <c r="A43" s="19" t="s">
        <v>327</v>
      </c>
    </row>
    <row r="44" spans="1:1" ht="12.5">
      <c r="A44" s="19" t="s">
        <v>78</v>
      </c>
    </row>
    <row r="45" spans="1:1" ht="12.5">
      <c r="A45" s="19" t="s">
        <v>250</v>
      </c>
    </row>
    <row r="46" spans="1:1" ht="12.5">
      <c r="A46" s="19" t="s">
        <v>328</v>
      </c>
    </row>
    <row r="47" spans="1:1" ht="12.5">
      <c r="A47" s="19" t="s">
        <v>329</v>
      </c>
    </row>
    <row r="48" spans="1:1" ht="12.5">
      <c r="A48" s="19" t="s">
        <v>101</v>
      </c>
    </row>
    <row r="49" spans="1:1" ht="12.5">
      <c r="A49" s="19" t="s">
        <v>272</v>
      </c>
    </row>
    <row r="50" spans="1:1" ht="12.5">
      <c r="A50" s="19" t="s">
        <v>330</v>
      </c>
    </row>
    <row r="51" spans="1:1" ht="12.5">
      <c r="A51" s="19" t="s">
        <v>331</v>
      </c>
    </row>
    <row r="52" spans="1:1" ht="12.5">
      <c r="A52" s="19" t="s">
        <v>113</v>
      </c>
    </row>
    <row r="53" spans="1:1" ht="12.5">
      <c r="A53" s="19" t="s">
        <v>332</v>
      </c>
    </row>
    <row r="54" spans="1:1" ht="12.5">
      <c r="A54" s="19" t="s">
        <v>333</v>
      </c>
    </row>
    <row r="55" spans="1:1" ht="12.5">
      <c r="A55" s="19" t="s">
        <v>84</v>
      </c>
    </row>
    <row r="56" spans="1:1" ht="12.5">
      <c r="A56" s="19" t="s">
        <v>84</v>
      </c>
    </row>
    <row r="57" spans="1:1" ht="12.5">
      <c r="A57" s="19" t="s">
        <v>126</v>
      </c>
    </row>
    <row r="58" spans="1:1" ht="12.5">
      <c r="A58" s="19" t="s">
        <v>334</v>
      </c>
    </row>
    <row r="59" spans="1:1" ht="12.5">
      <c r="A59" s="19" t="s">
        <v>273</v>
      </c>
    </row>
    <row r="60" spans="1:1" ht="12.5">
      <c r="A60" s="19" t="s">
        <v>94</v>
      </c>
    </row>
    <row r="61" spans="1:1" ht="12.5">
      <c r="A61" s="19" t="s">
        <v>238</v>
      </c>
    </row>
    <row r="62" spans="1:1" ht="12.5">
      <c r="A62" s="19" t="s">
        <v>225</v>
      </c>
    </row>
    <row r="63" spans="1:1" ht="12.5">
      <c r="A63" s="19" t="s">
        <v>335</v>
      </c>
    </row>
    <row r="64" spans="1:1" ht="12.5">
      <c r="A64" s="19" t="s">
        <v>336</v>
      </c>
    </row>
    <row r="65" spans="1:1" ht="12.5">
      <c r="A65" s="19" t="s">
        <v>231</v>
      </c>
    </row>
    <row r="66" spans="1:1" ht="12.5">
      <c r="A66" s="19" t="s">
        <v>187</v>
      </c>
    </row>
    <row r="67" spans="1:1" ht="12.5">
      <c r="A67" s="19" t="s">
        <v>156</v>
      </c>
    </row>
    <row r="68" spans="1:1" ht="12.5">
      <c r="A68" s="19" t="s">
        <v>337</v>
      </c>
    </row>
    <row r="69" spans="1:1" ht="12.5">
      <c r="A69" s="19" t="s">
        <v>338</v>
      </c>
    </row>
    <row r="70" spans="1:1" ht="12.5">
      <c r="A70" s="19" t="s">
        <v>143</v>
      </c>
    </row>
    <row r="71" spans="1:1" ht="12.5">
      <c r="A71" s="19" t="s">
        <v>339</v>
      </c>
    </row>
    <row r="72" spans="1:1" ht="12.5">
      <c r="A72" s="19" t="s">
        <v>340</v>
      </c>
    </row>
    <row r="73" spans="1:1" ht="12.5">
      <c r="A73" s="19" t="s">
        <v>341</v>
      </c>
    </row>
    <row r="74" spans="1:1" ht="12.5">
      <c r="A74" s="19" t="s">
        <v>227</v>
      </c>
    </row>
    <row r="75" spans="1:1" ht="12.5">
      <c r="A75" s="19" t="s">
        <v>342</v>
      </c>
    </row>
    <row r="76" spans="1:1" ht="12.5">
      <c r="A76" s="19" t="s">
        <v>343</v>
      </c>
    </row>
    <row r="77" spans="1:1" ht="12.5">
      <c r="A77" s="19" t="s">
        <v>269</v>
      </c>
    </row>
    <row r="78" spans="1:1" ht="12.5">
      <c r="A78" s="19" t="s">
        <v>264</v>
      </c>
    </row>
    <row r="79" spans="1:1" ht="12.5">
      <c r="A79" s="19" t="s">
        <v>344</v>
      </c>
    </row>
    <row r="80" spans="1:1" ht="12.5">
      <c r="A80" s="19" t="s">
        <v>345</v>
      </c>
    </row>
    <row r="81" spans="1:1" ht="12.5">
      <c r="A81" s="19" t="s">
        <v>346</v>
      </c>
    </row>
    <row r="82" spans="1:1" ht="12.5">
      <c r="A82" s="19" t="s">
        <v>71</v>
      </c>
    </row>
    <row r="83" spans="1:1" ht="12.5">
      <c r="A83" s="19" t="s">
        <v>253</v>
      </c>
    </row>
    <row r="84" spans="1:1" ht="12.5">
      <c r="A84" s="19" t="s">
        <v>52</v>
      </c>
    </row>
    <row r="85" spans="1:1" ht="12.5">
      <c r="A85" s="19" t="s">
        <v>159</v>
      </c>
    </row>
    <row r="86" spans="1:1" ht="12.5">
      <c r="A86" s="19" t="s">
        <v>347</v>
      </c>
    </row>
    <row r="87" spans="1:1" ht="12.5">
      <c r="A87" s="19" t="s">
        <v>92</v>
      </c>
    </row>
    <row r="88" spans="1:1" ht="12.5">
      <c r="A88" s="19" t="s">
        <v>243</v>
      </c>
    </row>
    <row r="89" spans="1:1" ht="12.5">
      <c r="A89" s="19" t="s">
        <v>233</v>
      </c>
    </row>
    <row r="90" spans="1:1" ht="12.5">
      <c r="A90" s="19" t="s">
        <v>348</v>
      </c>
    </row>
    <row r="91" spans="1:1" ht="12.5">
      <c r="A91" s="19" t="s">
        <v>123</v>
      </c>
    </row>
    <row r="92" spans="1:1" ht="12.5">
      <c r="A92" s="19" t="s">
        <v>349</v>
      </c>
    </row>
    <row r="93" spans="1:1" ht="12.5">
      <c r="A93" s="19" t="s">
        <v>350</v>
      </c>
    </row>
    <row r="94" spans="1:1" ht="12.5">
      <c r="A94" s="19" t="s">
        <v>194</v>
      </c>
    </row>
    <row r="95" spans="1:1" ht="12.5">
      <c r="A95" s="19" t="s">
        <v>351</v>
      </c>
    </row>
    <row r="96" spans="1:1" ht="12.5">
      <c r="A96" s="19" t="s">
        <v>352</v>
      </c>
    </row>
    <row r="97" spans="1:1" ht="12.5">
      <c r="A97" s="19" t="s">
        <v>353</v>
      </c>
    </row>
    <row r="98" spans="1:1" ht="12.5">
      <c r="A98" s="19" t="s">
        <v>354</v>
      </c>
    </row>
    <row r="99" spans="1:1" ht="12.5">
      <c r="A99" s="19" t="s">
        <v>123</v>
      </c>
    </row>
    <row r="100" spans="1:1" ht="12.5">
      <c r="A100" s="19" t="s">
        <v>252</v>
      </c>
    </row>
    <row r="101" spans="1:1" ht="12.5">
      <c r="A101" s="19" t="s">
        <v>355</v>
      </c>
    </row>
    <row r="102" spans="1:1" ht="12.5">
      <c r="A102" s="19" t="s">
        <v>56</v>
      </c>
    </row>
    <row r="103" spans="1:1" ht="12.5">
      <c r="A103" s="19" t="s">
        <v>356</v>
      </c>
    </row>
    <row r="104" spans="1:1" ht="12.5">
      <c r="A104" s="19" t="s">
        <v>357</v>
      </c>
    </row>
    <row r="105" spans="1:1" ht="12.5">
      <c r="A105" s="19" t="s">
        <v>358</v>
      </c>
    </row>
    <row r="106" spans="1:1" ht="12.5">
      <c r="A106" s="19" t="s">
        <v>359</v>
      </c>
    </row>
    <row r="107" spans="1:1" ht="12.5">
      <c r="A107" s="19" t="s">
        <v>158</v>
      </c>
    </row>
    <row r="108" spans="1:1" ht="12.5">
      <c r="A108" s="19" t="s">
        <v>251</v>
      </c>
    </row>
    <row r="109" spans="1:1" ht="12.5">
      <c r="A109" s="19" t="s">
        <v>360</v>
      </c>
    </row>
    <row r="110" spans="1:1" ht="12.5">
      <c r="A110" s="19" t="s">
        <v>153</v>
      </c>
    </row>
    <row r="111" spans="1:1" ht="12.5">
      <c r="A111" s="19" t="s">
        <v>361</v>
      </c>
    </row>
    <row r="112" spans="1:1" ht="12.5">
      <c r="A112" s="19" t="s">
        <v>165</v>
      </c>
    </row>
    <row r="113" spans="1:1" ht="12.5">
      <c r="A113" s="19" t="s">
        <v>362</v>
      </c>
    </row>
    <row r="114" spans="1:1" ht="12.5">
      <c r="A114" s="19" t="s">
        <v>90</v>
      </c>
    </row>
    <row r="115" spans="1:1" ht="12.5">
      <c r="A115" s="19" t="s">
        <v>59</v>
      </c>
    </row>
    <row r="116" spans="1:1" ht="12.5">
      <c r="A116" s="19" t="s">
        <v>361</v>
      </c>
    </row>
    <row r="117" spans="1:1" ht="12.5">
      <c r="A117" s="19" t="s">
        <v>363</v>
      </c>
    </row>
    <row r="118" spans="1:1" ht="12.5">
      <c r="A118" s="19" t="s">
        <v>364</v>
      </c>
    </row>
    <row r="119" spans="1:1" ht="12.5">
      <c r="A119" s="19" t="s">
        <v>365</v>
      </c>
    </row>
    <row r="120" spans="1:1" ht="12.5">
      <c r="A120" s="19" t="s">
        <v>366</v>
      </c>
    </row>
    <row r="121" spans="1:1" ht="12.5">
      <c r="A121" s="19" t="s">
        <v>367</v>
      </c>
    </row>
    <row r="122" spans="1:1" ht="12.5">
      <c r="A122" s="19" t="s">
        <v>115</v>
      </c>
    </row>
    <row r="123" spans="1:1" ht="12.5">
      <c r="A123" s="19" t="s">
        <v>368</v>
      </c>
    </row>
    <row r="124" spans="1:1" ht="12.5">
      <c r="A124" s="19" t="s">
        <v>369</v>
      </c>
    </row>
    <row r="125" spans="1:1" ht="12.5">
      <c r="A125" s="19" t="s">
        <v>112</v>
      </c>
    </row>
    <row r="126" spans="1:1" ht="12.5">
      <c r="A126" s="19" t="s">
        <v>370</v>
      </c>
    </row>
    <row r="127" spans="1:1" ht="12.5">
      <c r="A127" s="19" t="s">
        <v>371</v>
      </c>
    </row>
    <row r="128" spans="1:1" ht="12.5">
      <c r="A128" s="19" t="s">
        <v>51</v>
      </c>
    </row>
    <row r="129" spans="1:1" ht="12.5">
      <c r="A129" s="19" t="s">
        <v>46</v>
      </c>
    </row>
    <row r="130" spans="1:1" ht="12.5">
      <c r="A130" s="19" t="s">
        <v>369</v>
      </c>
    </row>
    <row r="131" spans="1:1" ht="12.5">
      <c r="A131" s="19" t="s">
        <v>95</v>
      </c>
    </row>
    <row r="132" spans="1:1" ht="12.5">
      <c r="A132" s="19" t="s">
        <v>141</v>
      </c>
    </row>
    <row r="133" spans="1:1" ht="12.5">
      <c r="A133" s="19" t="s">
        <v>205</v>
      </c>
    </row>
    <row r="134" spans="1:1" ht="12.5">
      <c r="A134" s="19" t="s">
        <v>372</v>
      </c>
    </row>
    <row r="135" spans="1:1" ht="12.5">
      <c r="A135" s="19" t="s">
        <v>373</v>
      </c>
    </row>
    <row r="136" spans="1:1" ht="12.5">
      <c r="A136" s="19" t="s">
        <v>219</v>
      </c>
    </row>
    <row r="137" spans="1:1" ht="12.5">
      <c r="A137" s="19" t="s">
        <v>374</v>
      </c>
    </row>
    <row r="138" spans="1:1" ht="12.5">
      <c r="A138" s="19" t="s">
        <v>375</v>
      </c>
    </row>
    <row r="139" spans="1:1" ht="12.5">
      <c r="A139" s="19" t="s">
        <v>376</v>
      </c>
    </row>
    <row r="140" spans="1:1" ht="12.5">
      <c r="A140" s="19" t="s">
        <v>377</v>
      </c>
    </row>
    <row r="141" spans="1:1" ht="12.5">
      <c r="A141" s="19" t="s">
        <v>378</v>
      </c>
    </row>
    <row r="142" spans="1:1" ht="12.5">
      <c r="A142" s="19" t="s">
        <v>379</v>
      </c>
    </row>
    <row r="143" spans="1:1" ht="12.5">
      <c r="A143" s="19" t="s">
        <v>289</v>
      </c>
    </row>
    <row r="144" spans="1:1" ht="12.5">
      <c r="A144" s="19" t="s">
        <v>380</v>
      </c>
    </row>
    <row r="145" spans="1:1" ht="12.5">
      <c r="A145" s="19" t="s">
        <v>222</v>
      </c>
    </row>
    <row r="146" spans="1:1" ht="12.5">
      <c r="A146" s="19" t="s">
        <v>381</v>
      </c>
    </row>
    <row r="147" spans="1:1" ht="12.5">
      <c r="A147" s="19" t="s">
        <v>162</v>
      </c>
    </row>
    <row r="148" spans="1:1" ht="12.5">
      <c r="A148" s="19" t="s">
        <v>382</v>
      </c>
    </row>
    <row r="149" spans="1:1" ht="12.5">
      <c r="A149" s="19" t="s">
        <v>380</v>
      </c>
    </row>
    <row r="150" spans="1:1" ht="12.5">
      <c r="A150" s="19" t="s">
        <v>383</v>
      </c>
    </row>
    <row r="151" spans="1:1" ht="12.5">
      <c r="A151" s="19" t="s">
        <v>384</v>
      </c>
    </row>
    <row r="152" spans="1:1" ht="12.5">
      <c r="A152" s="19" t="s">
        <v>385</v>
      </c>
    </row>
    <row r="153" spans="1:1" ht="12.5">
      <c r="A153" s="19" t="s">
        <v>204</v>
      </c>
    </row>
    <row r="154" spans="1:1" ht="12.5">
      <c r="A154" s="19" t="s">
        <v>386</v>
      </c>
    </row>
    <row r="155" spans="1:1" ht="12.5">
      <c r="A155" s="19" t="s">
        <v>387</v>
      </c>
    </row>
    <row r="156" spans="1:1" ht="12.5">
      <c r="A156" s="19" t="s">
        <v>388</v>
      </c>
    </row>
    <row r="157" spans="1:1" ht="12.5">
      <c r="A157" s="19" t="s">
        <v>64</v>
      </c>
    </row>
    <row r="158" spans="1:1" ht="12.5">
      <c r="A158" s="19" t="s">
        <v>138</v>
      </c>
    </row>
    <row r="159" spans="1:1" ht="12.5">
      <c r="A159" s="19" t="s">
        <v>389</v>
      </c>
    </row>
    <row r="160" spans="1:1" ht="12.5">
      <c r="A160" s="19" t="s">
        <v>390</v>
      </c>
    </row>
    <row r="161" spans="1:1" ht="12.5">
      <c r="A161" s="19" t="s">
        <v>262</v>
      </c>
    </row>
    <row r="162" spans="1:1" ht="12.5">
      <c r="A162" s="19" t="s">
        <v>391</v>
      </c>
    </row>
    <row r="163" spans="1:1" ht="12.5">
      <c r="A163" s="19" t="s">
        <v>102</v>
      </c>
    </row>
    <row r="164" spans="1:1" ht="12.5">
      <c r="A164" s="19" t="s">
        <v>386</v>
      </c>
    </row>
    <row r="165" spans="1:1" ht="12.5">
      <c r="A165" s="19" t="s">
        <v>392</v>
      </c>
    </row>
    <row r="166" spans="1:1" ht="12.5">
      <c r="A166" s="19" t="s">
        <v>197</v>
      </c>
    </row>
    <row r="167" spans="1:1" ht="12.5">
      <c r="A167" s="19" t="s">
        <v>393</v>
      </c>
    </row>
    <row r="168" spans="1:1" ht="12.5">
      <c r="A168" s="19" t="s">
        <v>394</v>
      </c>
    </row>
    <row r="169" spans="1:1" ht="12.5">
      <c r="A169" s="19" t="s">
        <v>164</v>
      </c>
    </row>
    <row r="170" spans="1:1" ht="12.5">
      <c r="A170" s="19" t="s">
        <v>395</v>
      </c>
    </row>
    <row r="171" spans="1:1" ht="12.5">
      <c r="A171" s="19" t="s">
        <v>396</v>
      </c>
    </row>
    <row r="172" spans="1:1" ht="12.5">
      <c r="A172" s="19" t="s">
        <v>397</v>
      </c>
    </row>
    <row r="173" spans="1:1" ht="12.5">
      <c r="A173" s="19" t="s">
        <v>134</v>
      </c>
    </row>
    <row r="174" spans="1:1" ht="12.5">
      <c r="A174" s="19" t="s">
        <v>398</v>
      </c>
    </row>
    <row r="175" spans="1:1" ht="12.5">
      <c r="A175" s="19" t="s">
        <v>221</v>
      </c>
    </row>
    <row r="176" spans="1:1" ht="12.5">
      <c r="A176" s="19" t="s">
        <v>136</v>
      </c>
    </row>
    <row r="177" spans="1:1" ht="12.5">
      <c r="A177" s="19" t="s">
        <v>110</v>
      </c>
    </row>
    <row r="178" spans="1:1" ht="12.5">
      <c r="A178" s="19" t="s">
        <v>399</v>
      </c>
    </row>
    <row r="179" spans="1:1" ht="12.5">
      <c r="A179" s="19" t="s">
        <v>400</v>
      </c>
    </row>
    <row r="180" spans="1:1" ht="12.5">
      <c r="A180" s="19" t="s">
        <v>401</v>
      </c>
    </row>
    <row r="181" spans="1:1" ht="12.5">
      <c r="A181" s="19" t="s">
        <v>402</v>
      </c>
    </row>
    <row r="182" spans="1:1" ht="12.5">
      <c r="A182" s="19" t="s">
        <v>157</v>
      </c>
    </row>
    <row r="183" spans="1:1" ht="12.5">
      <c r="A183" s="19" t="s">
        <v>403</v>
      </c>
    </row>
    <row r="184" spans="1:1" ht="12.5">
      <c r="A184" s="19" t="s">
        <v>404</v>
      </c>
    </row>
    <row r="185" spans="1:1" ht="12.5">
      <c r="A185" s="19" t="s">
        <v>405</v>
      </c>
    </row>
    <row r="186" spans="1:1" ht="12.5">
      <c r="A186" s="19" t="s">
        <v>234</v>
      </c>
    </row>
    <row r="187" spans="1:1" ht="12.5">
      <c r="A187" s="19" t="s">
        <v>73</v>
      </c>
    </row>
    <row r="188" spans="1:1" ht="12.5">
      <c r="A188" s="19" t="s">
        <v>61</v>
      </c>
    </row>
    <row r="189" spans="1:1" ht="12.5">
      <c r="A189" s="19" t="s">
        <v>73</v>
      </c>
    </row>
    <row r="190" spans="1:1" ht="12.5">
      <c r="A190" s="19" t="s">
        <v>63</v>
      </c>
    </row>
    <row r="191" spans="1:1" ht="12.5">
      <c r="A191" s="19" t="s">
        <v>58</v>
      </c>
    </row>
    <row r="192" spans="1:1" ht="12.5">
      <c r="A192" s="19" t="s">
        <v>285</v>
      </c>
    </row>
    <row r="193" spans="1:1" ht="12.5">
      <c r="A193" s="19" t="s">
        <v>72</v>
      </c>
    </row>
    <row r="194" spans="1:1" ht="12.5">
      <c r="A194" s="19" t="s">
        <v>342</v>
      </c>
    </row>
    <row r="195" spans="1:1" ht="12.5">
      <c r="A195" s="19" t="s">
        <v>406</v>
      </c>
    </row>
    <row r="196" spans="1:1" ht="12.5">
      <c r="A196" s="19" t="s">
        <v>407</v>
      </c>
    </row>
    <row r="197" spans="1:1" ht="12.5">
      <c r="A197" s="19" t="s">
        <v>408</v>
      </c>
    </row>
    <row r="198" spans="1:1" ht="12.5">
      <c r="A198" s="19" t="s">
        <v>277</v>
      </c>
    </row>
    <row r="199" spans="1:1" ht="12.5">
      <c r="A199" s="19" t="s">
        <v>137</v>
      </c>
    </row>
    <row r="200" spans="1:1" ht="12.5">
      <c r="A200" s="19" t="s">
        <v>409</v>
      </c>
    </row>
    <row r="201" spans="1:1" ht="12.5">
      <c r="A201" s="19" t="s">
        <v>410</v>
      </c>
    </row>
    <row r="202" spans="1:1" ht="12.5">
      <c r="A202" s="19" t="s">
        <v>411</v>
      </c>
    </row>
    <row r="203" spans="1:1" ht="12.5">
      <c r="A203" s="19" t="s">
        <v>161</v>
      </c>
    </row>
    <row r="204" spans="1:1" ht="12.5">
      <c r="A204" s="19" t="s">
        <v>412</v>
      </c>
    </row>
    <row r="205" spans="1:1" ht="12.5">
      <c r="A205" s="19" t="s">
        <v>413</v>
      </c>
    </row>
    <row r="206" spans="1:1" ht="12.5">
      <c r="A206" s="19" t="s">
        <v>245</v>
      </c>
    </row>
    <row r="207" spans="1:1" ht="12.5">
      <c r="A207" s="19" t="s">
        <v>239</v>
      </c>
    </row>
    <row r="208" spans="1:1" ht="12.5">
      <c r="A208" s="19" t="s">
        <v>414</v>
      </c>
    </row>
    <row r="209" spans="1:1" ht="12.5">
      <c r="A209" s="19" t="s">
        <v>415</v>
      </c>
    </row>
    <row r="210" spans="1:1" ht="12.5">
      <c r="A210" s="19" t="s">
        <v>416</v>
      </c>
    </row>
    <row r="211" spans="1:1" ht="12.5">
      <c r="A211" s="19" t="s">
        <v>417</v>
      </c>
    </row>
    <row r="212" spans="1:1" ht="12.5">
      <c r="A212" s="19" t="s">
        <v>108</v>
      </c>
    </row>
    <row r="213" spans="1:1" ht="12.5">
      <c r="A213" s="19" t="s">
        <v>418</v>
      </c>
    </row>
    <row r="214" spans="1:1" ht="12.5">
      <c r="A214" s="19" t="s">
        <v>419</v>
      </c>
    </row>
    <row r="215" spans="1:1" ht="12.5">
      <c r="A215" s="19" t="s">
        <v>135</v>
      </c>
    </row>
    <row r="216" spans="1:1" ht="12.5">
      <c r="A216" s="19" t="s">
        <v>420</v>
      </c>
    </row>
    <row r="217" spans="1:1" ht="12.5">
      <c r="A217" s="19" t="s">
        <v>257</v>
      </c>
    </row>
    <row r="218" spans="1:1" ht="12.5">
      <c r="A218" s="19" t="s">
        <v>421</v>
      </c>
    </row>
    <row r="219" spans="1:1" ht="12.5">
      <c r="A219" s="19" t="s">
        <v>422</v>
      </c>
    </row>
    <row r="220" spans="1:1" ht="12.5">
      <c r="A220" s="19" t="s">
        <v>423</v>
      </c>
    </row>
    <row r="221" spans="1:1" ht="12.5">
      <c r="A221" s="19" t="s">
        <v>211</v>
      </c>
    </row>
    <row r="222" spans="1:1" ht="12.5">
      <c r="A222" s="19" t="s">
        <v>418</v>
      </c>
    </row>
    <row r="223" spans="1:1" ht="12.5">
      <c r="A223" s="19" t="s">
        <v>424</v>
      </c>
    </row>
    <row r="224" spans="1:1" ht="12.5">
      <c r="A224" s="19" t="s">
        <v>425</v>
      </c>
    </row>
    <row r="225" spans="1:1" ht="12.5">
      <c r="A225" s="19" t="s">
        <v>168</v>
      </c>
    </row>
    <row r="226" spans="1:1" ht="12.5">
      <c r="A226" s="19" t="s">
        <v>175</v>
      </c>
    </row>
    <row r="227" spans="1:1" ht="12.5">
      <c r="A227" s="19" t="s">
        <v>426</v>
      </c>
    </row>
    <row r="228" spans="1:1" ht="12.5">
      <c r="A228" s="19" t="s">
        <v>427</v>
      </c>
    </row>
    <row r="229" spans="1:1" ht="12.5">
      <c r="A229" s="19" t="s">
        <v>271</v>
      </c>
    </row>
    <row r="230" spans="1:1" ht="12.5">
      <c r="A230" s="19" t="s">
        <v>428</v>
      </c>
    </row>
    <row r="231" spans="1:1" ht="12.5">
      <c r="A231" s="19" t="s">
        <v>429</v>
      </c>
    </row>
    <row r="232" spans="1:1" ht="12.5">
      <c r="A232" s="19" t="s">
        <v>69</v>
      </c>
    </row>
    <row r="233" spans="1:1" ht="12.5">
      <c r="A233" s="19" t="s">
        <v>175</v>
      </c>
    </row>
    <row r="234" spans="1:1" ht="12.5">
      <c r="A234" s="19" t="s">
        <v>430</v>
      </c>
    </row>
    <row r="235" spans="1:1" ht="12.5">
      <c r="A235" s="19" t="s">
        <v>431</v>
      </c>
    </row>
    <row r="236" spans="1:1" ht="12.5">
      <c r="A236" s="19" t="s">
        <v>432</v>
      </c>
    </row>
    <row r="237" spans="1:1" ht="12.5">
      <c r="A237" s="19" t="s">
        <v>433</v>
      </c>
    </row>
    <row r="238" spans="1:1" ht="12.5">
      <c r="A238" s="19" t="s">
        <v>434</v>
      </c>
    </row>
    <row r="239" spans="1:1" ht="12.5">
      <c r="A239" s="19" t="s">
        <v>435</v>
      </c>
    </row>
    <row r="240" spans="1:1" ht="12.5">
      <c r="A240" s="19" t="s">
        <v>436</v>
      </c>
    </row>
    <row r="241" spans="1:1" ht="12.5">
      <c r="A241" s="19" t="s">
        <v>437</v>
      </c>
    </row>
    <row r="242" spans="1:1" ht="12.5">
      <c r="A242" s="19" t="s">
        <v>438</v>
      </c>
    </row>
    <row r="243" spans="1:1" ht="12.5">
      <c r="A243" s="19" t="s">
        <v>228</v>
      </c>
    </row>
    <row r="244" spans="1:1" ht="12.5">
      <c r="A244" s="19" t="s">
        <v>439</v>
      </c>
    </row>
    <row r="245" spans="1:1" ht="12.5">
      <c r="A245" s="19" t="s">
        <v>440</v>
      </c>
    </row>
    <row r="246" spans="1:1" ht="12.5">
      <c r="A246" s="19" t="s">
        <v>438</v>
      </c>
    </row>
    <row r="247" spans="1:1" ht="12.5">
      <c r="A247" s="19" t="s">
        <v>108</v>
      </c>
    </row>
    <row r="248" spans="1:1" ht="12.5">
      <c r="A248" s="19" t="s">
        <v>441</v>
      </c>
    </row>
    <row r="249" spans="1:1" ht="12.5">
      <c r="A249" s="19" t="s">
        <v>442</v>
      </c>
    </row>
    <row r="250" spans="1:1" ht="12.5">
      <c r="A250" s="19" t="s">
        <v>281</v>
      </c>
    </row>
    <row r="251" spans="1:1" ht="12.5">
      <c r="A251" s="19" t="s">
        <v>86</v>
      </c>
    </row>
    <row r="252" spans="1:1" ht="12.5">
      <c r="A252" s="19" t="s">
        <v>443</v>
      </c>
    </row>
    <row r="253" spans="1:1" ht="12.5">
      <c r="A253" s="19" t="s">
        <v>444</v>
      </c>
    </row>
    <row r="254" spans="1:1" ht="12.5">
      <c r="A254" s="19" t="s">
        <v>445</v>
      </c>
    </row>
    <row r="255" spans="1:1" ht="12.5">
      <c r="A255" s="19" t="s">
        <v>446</v>
      </c>
    </row>
    <row r="256" spans="1:1" ht="12.5">
      <c r="A256" s="19" t="s">
        <v>447</v>
      </c>
    </row>
    <row r="257" spans="1:1" ht="12.5">
      <c r="A257" s="19" t="s">
        <v>81</v>
      </c>
    </row>
    <row r="258" spans="1:1" ht="12.5">
      <c r="A258" s="19" t="s">
        <v>38</v>
      </c>
    </row>
    <row r="259" spans="1:1" ht="12.5">
      <c r="A259" s="19" t="s">
        <v>240</v>
      </c>
    </row>
    <row r="260" spans="1:1" ht="12.5">
      <c r="A260" s="19" t="s">
        <v>448</v>
      </c>
    </row>
    <row r="261" spans="1:1" ht="12.5">
      <c r="A261" s="19" t="s">
        <v>247</v>
      </c>
    </row>
    <row r="262" spans="1:1" ht="12.5">
      <c r="A262" s="19" t="s">
        <v>240</v>
      </c>
    </row>
    <row r="263" spans="1:1" ht="12.5">
      <c r="A263" s="19" t="s">
        <v>449</v>
      </c>
    </row>
    <row r="264" spans="1:1" ht="12.5">
      <c r="A264" s="19" t="s">
        <v>448</v>
      </c>
    </row>
    <row r="265" spans="1:1" ht="12.5">
      <c r="A265" s="19" t="s">
        <v>297</v>
      </c>
    </row>
    <row r="266" spans="1:1" ht="12.5">
      <c r="A266" s="19" t="s">
        <v>266</v>
      </c>
    </row>
    <row r="267" spans="1:1" ht="12.5">
      <c r="A267" s="19" t="s">
        <v>450</v>
      </c>
    </row>
    <row r="268" spans="1:1" ht="12.5">
      <c r="A268" s="19" t="s">
        <v>451</v>
      </c>
    </row>
    <row r="269" spans="1:1" ht="12.5">
      <c r="A269" s="19" t="s">
        <v>298</v>
      </c>
    </row>
    <row r="270" spans="1:1" ht="12.5">
      <c r="A270" s="19" t="s">
        <v>44</v>
      </c>
    </row>
    <row r="271" spans="1:1" ht="12.5">
      <c r="A271" s="19" t="s">
        <v>452</v>
      </c>
    </row>
    <row r="272" spans="1:1" ht="12.5">
      <c r="A272" s="19" t="s">
        <v>453</v>
      </c>
    </row>
    <row r="273" spans="1:1" ht="12.5">
      <c r="A273" s="19" t="s">
        <v>454</v>
      </c>
    </row>
    <row r="274" spans="1:1" ht="12.5">
      <c r="A274" s="19" t="s">
        <v>439</v>
      </c>
    </row>
    <row r="275" spans="1:1" ht="12.5">
      <c r="A275" s="19" t="s">
        <v>44</v>
      </c>
    </row>
    <row r="276" spans="1:1" ht="12.5">
      <c r="A276" s="19" t="s">
        <v>455</v>
      </c>
    </row>
    <row r="277" spans="1:1" ht="12.5">
      <c r="A277" s="19" t="s">
        <v>116</v>
      </c>
    </row>
    <row r="278" spans="1:1" ht="12.5">
      <c r="A278" s="19" t="s">
        <v>456</v>
      </c>
    </row>
    <row r="279" spans="1:1" ht="12.5">
      <c r="A279" s="19" t="s">
        <v>47</v>
      </c>
    </row>
    <row r="280" spans="1:1" ht="12.5">
      <c r="A280" s="19" t="s">
        <v>83</v>
      </c>
    </row>
    <row r="281" spans="1:1" ht="12.5">
      <c r="A281" s="19" t="s">
        <v>457</v>
      </c>
    </row>
    <row r="282" spans="1:1" ht="12.5">
      <c r="A282" s="19" t="s">
        <v>212</v>
      </c>
    </row>
    <row r="283" spans="1:1" ht="12.5">
      <c r="A283" s="19" t="s">
        <v>458</v>
      </c>
    </row>
    <row r="284" spans="1:1" ht="12.5">
      <c r="A284" s="19" t="s">
        <v>459</v>
      </c>
    </row>
    <row r="285" spans="1:1" ht="12.5">
      <c r="A285" s="19" t="s">
        <v>42</v>
      </c>
    </row>
    <row r="286" spans="1:1" ht="12.5">
      <c r="A286" s="19" t="s">
        <v>66</v>
      </c>
    </row>
    <row r="287" spans="1:1" ht="12.5">
      <c r="A287" s="19" t="s">
        <v>279</v>
      </c>
    </row>
    <row r="288" spans="1:1" ht="12.5">
      <c r="A288" s="19" t="s">
        <v>44</v>
      </c>
    </row>
    <row r="289" spans="1:1" ht="12.5">
      <c r="A289" s="19" t="s">
        <v>174</v>
      </c>
    </row>
    <row r="290" spans="1:1" ht="12.5">
      <c r="A290" s="19" t="s">
        <v>460</v>
      </c>
    </row>
    <row r="291" spans="1:1" ht="12.5">
      <c r="A291" s="19" t="s">
        <v>461</v>
      </c>
    </row>
    <row r="292" spans="1:1" ht="12.5">
      <c r="A292" s="19" t="s">
        <v>300</v>
      </c>
    </row>
    <row r="293" spans="1:1" ht="12.5">
      <c r="A293" s="19" t="s">
        <v>462</v>
      </c>
    </row>
    <row r="294" spans="1:1" ht="12.5">
      <c r="A294" s="19" t="s">
        <v>463</v>
      </c>
    </row>
    <row r="295" spans="1:1" ht="12.5">
      <c r="A295" s="19" t="s">
        <v>150</v>
      </c>
    </row>
    <row r="296" spans="1:1" ht="12.5">
      <c r="A296" s="19" t="s">
        <v>464</v>
      </c>
    </row>
    <row r="297" spans="1:1" ht="12.5">
      <c r="A297" s="19" t="s">
        <v>124</v>
      </c>
    </row>
    <row r="298" spans="1:1" ht="12.5">
      <c r="A298" s="19" t="s">
        <v>465</v>
      </c>
    </row>
    <row r="299" spans="1:1" ht="12.5">
      <c r="A299" s="19" t="s">
        <v>217</v>
      </c>
    </row>
    <row r="300" spans="1:1" ht="12.5">
      <c r="A300" s="19" t="s">
        <v>466</v>
      </c>
    </row>
    <row r="301" spans="1:1" ht="12.5">
      <c r="A301" s="19" t="s">
        <v>166</v>
      </c>
    </row>
    <row r="302" spans="1:1" ht="12.5">
      <c r="A302" s="19" t="s">
        <v>268</v>
      </c>
    </row>
    <row r="303" spans="1:1" ht="12.5">
      <c r="A303" s="19" t="s">
        <v>62</v>
      </c>
    </row>
    <row r="304" spans="1:1" ht="12.5">
      <c r="A304" s="19" t="s">
        <v>467</v>
      </c>
    </row>
    <row r="305" spans="1:1" ht="12.5">
      <c r="A305" s="19" t="s">
        <v>468</v>
      </c>
    </row>
    <row r="306" spans="1:1" ht="12.5">
      <c r="A306" s="19" t="s">
        <v>75</v>
      </c>
    </row>
    <row r="307" spans="1:1" ht="12.5">
      <c r="A307" s="19" t="s">
        <v>469</v>
      </c>
    </row>
    <row r="308" spans="1:1" ht="12.5">
      <c r="A308" s="19" t="s">
        <v>470</v>
      </c>
    </row>
    <row r="309" spans="1:1" ht="12.5">
      <c r="A309" s="19" t="s">
        <v>471</v>
      </c>
    </row>
    <row r="310" spans="1:1" ht="12.5">
      <c r="A310" s="19" t="s">
        <v>188</v>
      </c>
    </row>
    <row r="311" spans="1:1" ht="12.5">
      <c r="A311" s="19" t="s">
        <v>248</v>
      </c>
    </row>
    <row r="312" spans="1:1" ht="12.5">
      <c r="A312" s="19" t="s">
        <v>472</v>
      </c>
    </row>
    <row r="313" spans="1:1" ht="12.5">
      <c r="A313" s="19" t="s">
        <v>473</v>
      </c>
    </row>
    <row r="314" spans="1:1" ht="12.5">
      <c r="A314" s="19" t="s">
        <v>191</v>
      </c>
    </row>
    <row r="315" spans="1:1" ht="12.5">
      <c r="A315" s="19" t="s">
        <v>206</v>
      </c>
    </row>
    <row r="316" spans="1:1" ht="12.5">
      <c r="A316" s="19" t="s">
        <v>232</v>
      </c>
    </row>
    <row r="317" spans="1:1" ht="12.5">
      <c r="A317" s="19" t="s">
        <v>474</v>
      </c>
    </row>
    <row r="318" spans="1:1" ht="12.5">
      <c r="A318" s="19" t="s">
        <v>475</v>
      </c>
    </row>
    <row r="319" spans="1:1" ht="12.5">
      <c r="A319" s="19" t="s">
        <v>476</v>
      </c>
    </row>
    <row r="320" spans="1:1" ht="12.5">
      <c r="A320" s="19" t="s">
        <v>477</v>
      </c>
    </row>
    <row r="321" spans="1:1" ht="12.5">
      <c r="A321" s="19" t="s">
        <v>478</v>
      </c>
    </row>
    <row r="322" spans="1:1" ht="12.5">
      <c r="A322" s="19" t="s">
        <v>40</v>
      </c>
    </row>
    <row r="323" spans="1:1" ht="12.5">
      <c r="A323" s="19" t="s">
        <v>118</v>
      </c>
    </row>
    <row r="324" spans="1:1" ht="12.5">
      <c r="A324" s="19" t="s">
        <v>479</v>
      </c>
    </row>
    <row r="325" spans="1:1" ht="12.5">
      <c r="A325" s="19" t="s">
        <v>230</v>
      </c>
    </row>
    <row r="326" spans="1:1" ht="12.5">
      <c r="A326" s="19" t="s">
        <v>144</v>
      </c>
    </row>
    <row r="327" spans="1:1" ht="12.5">
      <c r="A327" s="19" t="s">
        <v>169</v>
      </c>
    </row>
    <row r="328" spans="1:1" ht="12.5">
      <c r="A328" s="19" t="s">
        <v>179</v>
      </c>
    </row>
    <row r="329" spans="1:1" ht="12.5">
      <c r="A329" s="19" t="s">
        <v>152</v>
      </c>
    </row>
    <row r="330" spans="1:1" ht="12.5">
      <c r="A330" s="19" t="s">
        <v>480</v>
      </c>
    </row>
    <row r="331" spans="1:1" ht="12.5">
      <c r="A331" s="19" t="s">
        <v>481</v>
      </c>
    </row>
    <row r="332" spans="1:1" ht="12.5">
      <c r="A332" s="19" t="s">
        <v>482</v>
      </c>
    </row>
    <row r="333" spans="1:1" ht="12.5">
      <c r="A333" s="19" t="s">
        <v>80</v>
      </c>
    </row>
    <row r="334" spans="1:1" ht="12.5">
      <c r="A334" s="19" t="s">
        <v>483</v>
      </c>
    </row>
    <row r="335" spans="1:1" ht="12.5">
      <c r="A335" s="19" t="s">
        <v>484</v>
      </c>
    </row>
    <row r="336" spans="1:1" ht="12.5">
      <c r="A336" s="19" t="s">
        <v>91</v>
      </c>
    </row>
    <row r="337" spans="1:1" ht="12.5">
      <c r="A337" s="23" t="s">
        <v>55</v>
      </c>
    </row>
    <row r="338" spans="1:1" ht="12.5">
      <c r="A338" s="19" t="s">
        <v>193</v>
      </c>
    </row>
    <row r="339" spans="1:1" ht="12.5">
      <c r="A339" s="19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82"/>
  <sheetViews>
    <sheetView workbookViewId="0"/>
  </sheetViews>
  <sheetFormatPr defaultColWidth="12.6328125" defaultRowHeight="15.75" customHeight="1"/>
  <cols>
    <col min="1" max="1" width="61.6328125" customWidth="1"/>
  </cols>
  <sheetData>
    <row r="1" spans="1:2">
      <c r="A1" s="24" t="s">
        <v>270</v>
      </c>
      <c r="B1" s="25">
        <v>925.84</v>
      </c>
    </row>
    <row r="2" spans="1:2">
      <c r="A2" s="24" t="s">
        <v>485</v>
      </c>
      <c r="B2" s="25">
        <v>669.43</v>
      </c>
    </row>
    <row r="3" spans="1:2">
      <c r="A3" s="24" t="s">
        <v>38</v>
      </c>
      <c r="B3" s="25">
        <v>566</v>
      </c>
    </row>
    <row r="4" spans="1:2">
      <c r="A4" s="24" t="s">
        <v>486</v>
      </c>
      <c r="B4" s="25">
        <v>548.25</v>
      </c>
    </row>
    <row r="5" spans="1:2">
      <c r="A5" s="24" t="s">
        <v>487</v>
      </c>
      <c r="B5" s="25">
        <v>540.08000000000004</v>
      </c>
    </row>
    <row r="6" spans="1:2">
      <c r="A6" s="24" t="s">
        <v>187</v>
      </c>
      <c r="B6" s="25">
        <v>525.20000000000005</v>
      </c>
    </row>
    <row r="7" spans="1:2">
      <c r="A7" s="24" t="s">
        <v>151</v>
      </c>
      <c r="B7" s="25">
        <v>505</v>
      </c>
    </row>
    <row r="8" spans="1:2">
      <c r="A8" s="24" t="s">
        <v>488</v>
      </c>
      <c r="B8" s="25">
        <v>500</v>
      </c>
    </row>
    <row r="9" spans="1:2">
      <c r="A9" s="24" t="s">
        <v>238</v>
      </c>
      <c r="B9" s="25">
        <v>460</v>
      </c>
    </row>
    <row r="10" spans="1:2">
      <c r="A10" s="24" t="s">
        <v>489</v>
      </c>
      <c r="B10" s="25">
        <v>451.99</v>
      </c>
    </row>
    <row r="11" spans="1:2">
      <c r="A11" s="24" t="s">
        <v>490</v>
      </c>
      <c r="B11" s="25">
        <v>444.5</v>
      </c>
    </row>
    <row r="12" spans="1:2">
      <c r="A12" s="24" t="s">
        <v>491</v>
      </c>
      <c r="B12" s="25">
        <v>439.67</v>
      </c>
    </row>
    <row r="13" spans="1:2">
      <c r="A13" s="24" t="s">
        <v>261</v>
      </c>
      <c r="B13" s="25">
        <v>404.58</v>
      </c>
    </row>
    <row r="14" spans="1:2">
      <c r="A14" s="24" t="s">
        <v>294</v>
      </c>
      <c r="B14" s="25">
        <v>402.84</v>
      </c>
    </row>
    <row r="15" spans="1:2">
      <c r="A15" s="24" t="s">
        <v>174</v>
      </c>
      <c r="B15" s="25">
        <v>394.78</v>
      </c>
    </row>
    <row r="16" spans="1:2">
      <c r="A16" s="24" t="s">
        <v>176</v>
      </c>
      <c r="B16" s="25">
        <v>370</v>
      </c>
    </row>
    <row r="17" spans="1:2">
      <c r="A17" s="24" t="s">
        <v>247</v>
      </c>
      <c r="B17" s="25">
        <v>361.52</v>
      </c>
    </row>
    <row r="18" spans="1:2">
      <c r="A18" s="24" t="s">
        <v>131</v>
      </c>
      <c r="B18" s="25">
        <v>359.25</v>
      </c>
    </row>
    <row r="19" spans="1:2">
      <c r="A19" s="24" t="s">
        <v>192</v>
      </c>
      <c r="B19" s="25">
        <v>330.37</v>
      </c>
    </row>
    <row r="20" spans="1:2">
      <c r="A20" s="24" t="s">
        <v>49</v>
      </c>
      <c r="B20" s="25">
        <v>324.58999999999997</v>
      </c>
    </row>
    <row r="21" spans="1:2">
      <c r="A21" s="24" t="s">
        <v>298</v>
      </c>
      <c r="B21" s="25">
        <v>319</v>
      </c>
    </row>
    <row r="22" spans="1:2">
      <c r="A22" s="24" t="s">
        <v>209</v>
      </c>
      <c r="B22" s="25">
        <v>300</v>
      </c>
    </row>
    <row r="23" spans="1:2">
      <c r="A23" s="24" t="s">
        <v>492</v>
      </c>
      <c r="B23" s="25">
        <v>295.5</v>
      </c>
    </row>
    <row r="24" spans="1:2">
      <c r="A24" s="24" t="s">
        <v>88</v>
      </c>
      <c r="B24" s="25">
        <v>274</v>
      </c>
    </row>
    <row r="25" spans="1:2">
      <c r="A25" s="24" t="s">
        <v>85</v>
      </c>
      <c r="B25" s="25">
        <v>264.66000000000003</v>
      </c>
    </row>
    <row r="26" spans="1:2">
      <c r="A26" s="24" t="s">
        <v>39</v>
      </c>
      <c r="B26" s="25">
        <v>251</v>
      </c>
    </row>
    <row r="27" spans="1:2">
      <c r="A27" s="24" t="s">
        <v>86</v>
      </c>
      <c r="B27" s="25">
        <v>222</v>
      </c>
    </row>
    <row r="28" spans="1:2">
      <c r="A28" s="24" t="s">
        <v>215</v>
      </c>
      <c r="B28" s="25">
        <v>204</v>
      </c>
    </row>
    <row r="29" spans="1:2">
      <c r="A29" s="24" t="s">
        <v>493</v>
      </c>
      <c r="B29" s="25">
        <v>196.9</v>
      </c>
    </row>
    <row r="30" spans="1:2">
      <c r="A30" s="24" t="s">
        <v>494</v>
      </c>
      <c r="B30" s="25">
        <v>196.46</v>
      </c>
    </row>
    <row r="31" spans="1:2">
      <c r="A31" s="24" t="s">
        <v>140</v>
      </c>
      <c r="B31" s="25">
        <v>195</v>
      </c>
    </row>
    <row r="32" spans="1:2">
      <c r="A32" s="24" t="s">
        <v>228</v>
      </c>
      <c r="B32" s="25">
        <v>194.9</v>
      </c>
    </row>
    <row r="33" spans="1:2">
      <c r="A33" s="24" t="s">
        <v>216</v>
      </c>
      <c r="B33" s="25">
        <v>188.76</v>
      </c>
    </row>
    <row r="34" spans="1:2">
      <c r="A34" s="24" t="s">
        <v>297</v>
      </c>
      <c r="B34" s="25">
        <v>171.5</v>
      </c>
    </row>
    <row r="35" spans="1:2">
      <c r="A35" s="24" t="s">
        <v>495</v>
      </c>
      <c r="B35" s="25">
        <v>74.7</v>
      </c>
    </row>
    <row r="36" spans="1:2">
      <c r="A36" s="24" t="s">
        <v>100</v>
      </c>
      <c r="B36" s="25">
        <v>528.49</v>
      </c>
    </row>
    <row r="37" spans="1:2">
      <c r="A37" s="24" t="s">
        <v>57</v>
      </c>
      <c r="B37" s="25">
        <v>357.88</v>
      </c>
    </row>
    <row r="38" spans="1:2">
      <c r="A38" s="24" t="s">
        <v>496</v>
      </c>
      <c r="B38" s="25">
        <v>443</v>
      </c>
    </row>
    <row r="39" spans="1:2">
      <c r="A39" s="24" t="s">
        <v>274</v>
      </c>
      <c r="B39" s="25">
        <v>515</v>
      </c>
    </row>
    <row r="40" spans="1:2">
      <c r="A40" s="24" t="s">
        <v>78</v>
      </c>
      <c r="B40" s="25">
        <v>533.48</v>
      </c>
    </row>
    <row r="41" spans="1:2">
      <c r="A41" s="24" t="s">
        <v>163</v>
      </c>
      <c r="B41" s="25">
        <v>619.73</v>
      </c>
    </row>
    <row r="42" spans="1:2">
      <c r="A42" s="24" t="s">
        <v>74</v>
      </c>
      <c r="B42" s="25">
        <v>548.49</v>
      </c>
    </row>
    <row r="43" spans="1:2">
      <c r="A43" s="24" t="s">
        <v>52</v>
      </c>
      <c r="B43" s="25">
        <v>1609.5</v>
      </c>
    </row>
    <row r="44" spans="1:2">
      <c r="A44" s="24" t="s">
        <v>497</v>
      </c>
      <c r="B44" s="25">
        <v>568</v>
      </c>
    </row>
    <row r="45" spans="1:2">
      <c r="A45" s="24" t="s">
        <v>212</v>
      </c>
      <c r="B45" s="25">
        <v>839.75</v>
      </c>
    </row>
    <row r="46" spans="1:2">
      <c r="A46" s="24" t="s">
        <v>60</v>
      </c>
      <c r="B46" s="25">
        <v>413.47</v>
      </c>
    </row>
    <row r="47" spans="1:2">
      <c r="A47" s="24" t="s">
        <v>40</v>
      </c>
      <c r="B47" s="25">
        <v>555.36</v>
      </c>
    </row>
    <row r="48" spans="1:2">
      <c r="A48" s="24" t="s">
        <v>498</v>
      </c>
      <c r="B48" s="25">
        <v>330</v>
      </c>
    </row>
    <row r="49" spans="1:2">
      <c r="A49" s="24" t="s">
        <v>235</v>
      </c>
      <c r="B49" s="25">
        <v>242.5</v>
      </c>
    </row>
    <row r="50" spans="1:2">
      <c r="A50" s="24" t="s">
        <v>148</v>
      </c>
      <c r="B50" s="25">
        <v>500</v>
      </c>
    </row>
    <row r="51" spans="1:2">
      <c r="A51" s="24" t="s">
        <v>87</v>
      </c>
      <c r="B51" s="25">
        <v>345.94</v>
      </c>
    </row>
    <row r="52" spans="1:2">
      <c r="A52" s="24" t="s">
        <v>499</v>
      </c>
      <c r="B52" s="25">
        <v>451</v>
      </c>
    </row>
    <row r="53" spans="1:2">
      <c r="A53" s="24" t="s">
        <v>118</v>
      </c>
      <c r="B53" s="25">
        <v>525</v>
      </c>
    </row>
    <row r="54" spans="1:2">
      <c r="A54" s="24" t="s">
        <v>145</v>
      </c>
      <c r="B54" s="25">
        <v>420</v>
      </c>
    </row>
    <row r="55" spans="1:2">
      <c r="A55" s="24" t="s">
        <v>500</v>
      </c>
      <c r="B55" s="25">
        <v>410.53</v>
      </c>
    </row>
    <row r="56" spans="1:2">
      <c r="A56" s="24" t="s">
        <v>77</v>
      </c>
      <c r="B56" s="25">
        <v>430.75</v>
      </c>
    </row>
    <row r="57" spans="1:2">
      <c r="A57" s="24" t="s">
        <v>268</v>
      </c>
      <c r="B57" s="25">
        <v>510</v>
      </c>
    </row>
    <row r="58" spans="1:2">
      <c r="A58" s="24" t="s">
        <v>169</v>
      </c>
      <c r="B58" s="25">
        <v>333.96</v>
      </c>
    </row>
    <row r="59" spans="1:2">
      <c r="A59" s="24" t="s">
        <v>110</v>
      </c>
      <c r="B59" s="25">
        <v>1578.49</v>
      </c>
    </row>
    <row r="60" spans="1:2">
      <c r="A60" s="24" t="s">
        <v>229</v>
      </c>
      <c r="B60" s="25">
        <v>553.71</v>
      </c>
    </row>
    <row r="61" spans="1:2">
      <c r="A61" s="24" t="s">
        <v>51</v>
      </c>
      <c r="B61" s="25">
        <v>1229.77</v>
      </c>
    </row>
    <row r="62" spans="1:2">
      <c r="A62" s="24" t="s">
        <v>501</v>
      </c>
      <c r="B62" s="25">
        <v>484.4</v>
      </c>
    </row>
    <row r="63" spans="1:2">
      <c r="A63" s="24" t="s">
        <v>115</v>
      </c>
      <c r="B63" s="25">
        <v>303.91000000000003</v>
      </c>
    </row>
    <row r="64" spans="1:2">
      <c r="A64" s="24" t="s">
        <v>502</v>
      </c>
      <c r="B64" s="25">
        <v>598.82000000000005</v>
      </c>
    </row>
    <row r="65" spans="1:2">
      <c r="A65" s="24" t="s">
        <v>36</v>
      </c>
      <c r="B65" s="25">
        <v>544.82000000000005</v>
      </c>
    </row>
    <row r="66" spans="1:2">
      <c r="A66" s="24" t="s">
        <v>53</v>
      </c>
      <c r="B66" s="25">
        <v>673.32</v>
      </c>
    </row>
    <row r="67" spans="1:2">
      <c r="A67" s="24" t="s">
        <v>154</v>
      </c>
      <c r="B67" s="25">
        <v>524.04999999999995</v>
      </c>
    </row>
    <row r="68" spans="1:2">
      <c r="A68" s="24" t="s">
        <v>136</v>
      </c>
      <c r="B68" s="25">
        <v>509.53</v>
      </c>
    </row>
    <row r="69" spans="1:2">
      <c r="A69" s="24" t="s">
        <v>243</v>
      </c>
      <c r="B69" s="25">
        <v>500.5</v>
      </c>
    </row>
    <row r="70" spans="1:2">
      <c r="A70" s="24" t="s">
        <v>503</v>
      </c>
      <c r="B70" s="25">
        <v>485.33</v>
      </c>
    </row>
    <row r="71" spans="1:2">
      <c r="A71" s="24" t="s">
        <v>153</v>
      </c>
      <c r="B71" s="25">
        <v>652.91</v>
      </c>
    </row>
    <row r="72" spans="1:2">
      <c r="A72" s="24" t="s">
        <v>96</v>
      </c>
      <c r="B72" s="25">
        <v>515.71</v>
      </c>
    </row>
    <row r="73" spans="1:2">
      <c r="A73" s="24" t="s">
        <v>146</v>
      </c>
      <c r="B73" s="25">
        <v>3075</v>
      </c>
    </row>
    <row r="74" spans="1:2">
      <c r="A74" s="24" t="s">
        <v>504</v>
      </c>
      <c r="B74" s="25">
        <v>333.26</v>
      </c>
    </row>
    <row r="75" spans="1:2">
      <c r="A75" s="24" t="s">
        <v>67</v>
      </c>
      <c r="B75" s="25">
        <v>558.91</v>
      </c>
    </row>
    <row r="76" spans="1:2">
      <c r="A76" s="24" t="s">
        <v>287</v>
      </c>
      <c r="B76" s="25">
        <v>528.28</v>
      </c>
    </row>
    <row r="77" spans="1:2">
      <c r="A77" s="24" t="s">
        <v>75</v>
      </c>
      <c r="B77" s="25">
        <v>362.41</v>
      </c>
    </row>
    <row r="78" spans="1:2">
      <c r="A78" s="24" t="s">
        <v>256</v>
      </c>
      <c r="B78" s="25">
        <v>235.8</v>
      </c>
    </row>
    <row r="79" spans="1:2">
      <c r="A79" s="24" t="s">
        <v>505</v>
      </c>
      <c r="B79" s="25">
        <v>581.59</v>
      </c>
    </row>
    <row r="80" spans="1:2">
      <c r="A80" s="24" t="s">
        <v>133</v>
      </c>
      <c r="B80" s="25">
        <v>395</v>
      </c>
    </row>
    <row r="81" spans="1:2">
      <c r="A81" s="26" t="s">
        <v>506</v>
      </c>
      <c r="B81" s="27">
        <v>651.79999999999995</v>
      </c>
    </row>
    <row r="82" spans="1:2">
      <c r="A82" s="24" t="s">
        <v>250</v>
      </c>
      <c r="B82" s="25">
        <v>211.77</v>
      </c>
    </row>
    <row r="83" spans="1:2">
      <c r="A83" s="24" t="s">
        <v>299</v>
      </c>
      <c r="B83" s="25">
        <v>741</v>
      </c>
    </row>
    <row r="84" spans="1:2">
      <c r="A84" s="24" t="s">
        <v>218</v>
      </c>
      <c r="B84" s="25">
        <v>552.46</v>
      </c>
    </row>
    <row r="85" spans="1:2">
      <c r="A85" s="24" t="s">
        <v>63</v>
      </c>
      <c r="B85" s="25">
        <v>568.61</v>
      </c>
    </row>
    <row r="86" spans="1:2">
      <c r="A86" s="24" t="s">
        <v>198</v>
      </c>
      <c r="B86" s="25">
        <v>434.28</v>
      </c>
    </row>
    <row r="87" spans="1:2">
      <c r="A87" s="26" t="s">
        <v>507</v>
      </c>
      <c r="B87" s="27">
        <v>814.82</v>
      </c>
    </row>
    <row r="88" spans="1:2">
      <c r="A88" s="24" t="s">
        <v>66</v>
      </c>
      <c r="B88" s="25">
        <v>991.1</v>
      </c>
    </row>
    <row r="89" spans="1:2">
      <c r="A89" s="24" t="s">
        <v>293</v>
      </c>
      <c r="B89" s="25">
        <v>570.98</v>
      </c>
    </row>
    <row r="90" spans="1:2">
      <c r="A90" s="24" t="s">
        <v>170</v>
      </c>
      <c r="B90" s="25">
        <v>688.25</v>
      </c>
    </row>
    <row r="91" spans="1:2">
      <c r="A91" s="24" t="s">
        <v>508</v>
      </c>
      <c r="B91" s="25">
        <v>496</v>
      </c>
    </row>
    <row r="92" spans="1:2">
      <c r="A92" s="24" t="s">
        <v>509</v>
      </c>
      <c r="B92" s="25">
        <v>314.87</v>
      </c>
    </row>
    <row r="93" spans="1:2">
      <c r="A93" s="26" t="s">
        <v>79</v>
      </c>
      <c r="B93" s="27">
        <v>487.88</v>
      </c>
    </row>
    <row r="94" spans="1:2">
      <c r="A94" s="24" t="s">
        <v>43</v>
      </c>
      <c r="B94" s="25">
        <v>163.54</v>
      </c>
    </row>
    <row r="95" spans="1:2">
      <c r="A95" s="24" t="s">
        <v>202</v>
      </c>
      <c r="B95" s="25">
        <v>1933.72</v>
      </c>
    </row>
    <row r="96" spans="1:2">
      <c r="A96" s="26" t="s">
        <v>510</v>
      </c>
      <c r="B96" s="27">
        <v>709.99</v>
      </c>
    </row>
    <row r="97" spans="1:2">
      <c r="A97" s="24" t="s">
        <v>189</v>
      </c>
      <c r="B97" s="25">
        <v>542.99</v>
      </c>
    </row>
    <row r="98" spans="1:2">
      <c r="A98" s="24" t="s">
        <v>155</v>
      </c>
      <c r="B98" s="25">
        <v>525</v>
      </c>
    </row>
    <row r="99" spans="1:2">
      <c r="A99" s="24" t="s">
        <v>111</v>
      </c>
      <c r="B99" s="25">
        <v>569.75</v>
      </c>
    </row>
    <row r="100" spans="1:2">
      <c r="A100" s="24" t="s">
        <v>511</v>
      </c>
      <c r="B100" s="25">
        <v>970.29</v>
      </c>
    </row>
    <row r="101" spans="1:2">
      <c r="A101" s="24" t="s">
        <v>106</v>
      </c>
      <c r="B101" s="25">
        <v>825</v>
      </c>
    </row>
    <row r="102" spans="1:2">
      <c r="A102" s="24" t="s">
        <v>285</v>
      </c>
      <c r="B102" s="25">
        <v>600</v>
      </c>
    </row>
    <row r="103" spans="1:2">
      <c r="A103" s="24" t="s">
        <v>87</v>
      </c>
      <c r="B103" s="25">
        <v>499.3</v>
      </c>
    </row>
    <row r="104" spans="1:2">
      <c r="A104" s="24" t="s">
        <v>199</v>
      </c>
      <c r="B104" s="25">
        <v>1096.73</v>
      </c>
    </row>
    <row r="105" spans="1:2">
      <c r="A105" s="24" t="s">
        <v>122</v>
      </c>
      <c r="B105" s="25">
        <v>435</v>
      </c>
    </row>
    <row r="106" spans="1:2">
      <c r="A106" s="24" t="s">
        <v>263</v>
      </c>
      <c r="B106" s="25">
        <v>154.99</v>
      </c>
    </row>
    <row r="107" spans="1:2">
      <c r="A107" s="24" t="s">
        <v>150</v>
      </c>
      <c r="B107" s="25">
        <v>495</v>
      </c>
    </row>
    <row r="108" spans="1:2">
      <c r="A108" s="24" t="s">
        <v>149</v>
      </c>
      <c r="B108" s="25">
        <v>576.79999999999995</v>
      </c>
    </row>
    <row r="109" spans="1:2">
      <c r="A109" s="24" t="s">
        <v>93</v>
      </c>
      <c r="B109" s="25">
        <v>273.88</v>
      </c>
    </row>
    <row r="110" spans="1:2">
      <c r="A110" s="24" t="s">
        <v>240</v>
      </c>
      <c r="B110" s="25">
        <v>443.92</v>
      </c>
    </row>
    <row r="111" spans="1:2">
      <c r="A111" s="24" t="s">
        <v>190</v>
      </c>
      <c r="B111" s="25">
        <v>410</v>
      </c>
    </row>
    <row r="112" spans="1:2">
      <c r="A112" s="24" t="s">
        <v>512</v>
      </c>
      <c r="B112" s="25">
        <v>165.34</v>
      </c>
    </row>
    <row r="113" spans="1:2">
      <c r="A113" s="24" t="s">
        <v>41</v>
      </c>
      <c r="B113" s="25">
        <v>318.95</v>
      </c>
    </row>
    <row r="114" spans="1:2">
      <c r="A114" s="24" t="s">
        <v>165</v>
      </c>
      <c r="B114" s="25">
        <v>539.28</v>
      </c>
    </row>
    <row r="115" spans="1:2">
      <c r="A115" s="24" t="s">
        <v>82</v>
      </c>
      <c r="B115" s="25">
        <v>599.5</v>
      </c>
    </row>
    <row r="116" spans="1:2">
      <c r="A116" s="24" t="s">
        <v>265</v>
      </c>
      <c r="B116" s="25">
        <v>634.97</v>
      </c>
    </row>
    <row r="117" spans="1:2">
      <c r="A117" s="24" t="s">
        <v>196</v>
      </c>
      <c r="B117" s="25">
        <v>547.39</v>
      </c>
    </row>
    <row r="118" spans="1:2">
      <c r="A118" s="24" t="s">
        <v>513</v>
      </c>
      <c r="B118" s="25">
        <v>730.68</v>
      </c>
    </row>
    <row r="119" spans="1:2">
      <c r="A119" s="24" t="s">
        <v>514</v>
      </c>
      <c r="B119" s="25">
        <v>301.89999999999998</v>
      </c>
    </row>
    <row r="120" spans="1:2">
      <c r="A120" s="24" t="s">
        <v>210</v>
      </c>
      <c r="B120" s="25">
        <v>344.65</v>
      </c>
    </row>
    <row r="121" spans="1:2">
      <c r="A121" s="24" t="s">
        <v>183</v>
      </c>
      <c r="B121" s="25">
        <v>310.3</v>
      </c>
    </row>
    <row r="122" spans="1:2">
      <c r="A122" s="24" t="s">
        <v>112</v>
      </c>
      <c r="B122" s="25">
        <v>752</v>
      </c>
    </row>
    <row r="123" spans="1:2">
      <c r="A123" s="24" t="s">
        <v>184</v>
      </c>
      <c r="B123" s="25">
        <v>1345.1</v>
      </c>
    </row>
    <row r="124" spans="1:2">
      <c r="A124" s="24" t="s">
        <v>61</v>
      </c>
      <c r="B124" s="25">
        <v>729.32</v>
      </c>
    </row>
    <row r="125" spans="1:2">
      <c r="A125" s="24" t="s">
        <v>123</v>
      </c>
      <c r="B125" s="25">
        <v>1736.65</v>
      </c>
    </row>
    <row r="126" spans="1:2">
      <c r="A126" s="24" t="s">
        <v>80</v>
      </c>
      <c r="B126" s="25">
        <v>500</v>
      </c>
    </row>
    <row r="127" spans="1:2">
      <c r="A127" s="24" t="s">
        <v>197</v>
      </c>
      <c r="B127" s="25">
        <v>562.64</v>
      </c>
    </row>
    <row r="128" spans="1:2">
      <c r="A128" s="24" t="s">
        <v>282</v>
      </c>
      <c r="B128" s="25">
        <v>295.24</v>
      </c>
    </row>
    <row r="129" spans="1:2">
      <c r="A129" s="24" t="s">
        <v>204</v>
      </c>
      <c r="B129" s="25">
        <v>600</v>
      </c>
    </row>
    <row r="130" spans="1:2">
      <c r="A130" s="24" t="s">
        <v>224</v>
      </c>
      <c r="B130" s="25">
        <v>653.92999999999995</v>
      </c>
    </row>
    <row r="131" spans="1:2">
      <c r="A131" s="24" t="s">
        <v>266</v>
      </c>
      <c r="B131" s="25">
        <v>579</v>
      </c>
    </row>
    <row r="132" spans="1:2">
      <c r="A132" s="24" t="s">
        <v>258</v>
      </c>
      <c r="B132" s="25">
        <v>794.99</v>
      </c>
    </row>
    <row r="133" spans="1:2">
      <c r="A133" s="24" t="s">
        <v>223</v>
      </c>
      <c r="B133" s="25">
        <v>385.5</v>
      </c>
    </row>
    <row r="134" spans="1:2">
      <c r="A134" s="24" t="s">
        <v>249</v>
      </c>
      <c r="B134" s="25">
        <v>450.47</v>
      </c>
    </row>
    <row r="135" spans="1:2">
      <c r="A135" s="24" t="s">
        <v>172</v>
      </c>
      <c r="B135" s="25">
        <v>354</v>
      </c>
    </row>
    <row r="136" spans="1:2">
      <c r="A136" s="24" t="s">
        <v>275</v>
      </c>
      <c r="B136" s="25">
        <v>651</v>
      </c>
    </row>
    <row r="137" spans="1:2">
      <c r="A137" s="24" t="s">
        <v>69</v>
      </c>
      <c r="B137" s="25">
        <v>325.61</v>
      </c>
    </row>
    <row r="138" spans="1:2">
      <c r="A138" s="24" t="s">
        <v>180</v>
      </c>
      <c r="B138" s="25">
        <v>540.5</v>
      </c>
    </row>
    <row r="139" spans="1:2">
      <c r="A139" s="24" t="s">
        <v>102</v>
      </c>
      <c r="B139" s="25">
        <v>180</v>
      </c>
    </row>
    <row r="140" spans="1:2">
      <c r="A140" s="24" t="s">
        <v>139</v>
      </c>
      <c r="B140" s="25">
        <v>566.98</v>
      </c>
    </row>
    <row r="141" spans="1:2">
      <c r="A141" s="24" t="s">
        <v>44</v>
      </c>
      <c r="B141" s="25">
        <v>1073.78</v>
      </c>
    </row>
    <row r="142" spans="1:2">
      <c r="A142" s="24" t="s">
        <v>177</v>
      </c>
      <c r="B142" s="25">
        <v>480</v>
      </c>
    </row>
    <row r="143" spans="1:2">
      <c r="A143" s="24" t="s">
        <v>130</v>
      </c>
      <c r="B143" s="25">
        <v>335</v>
      </c>
    </row>
    <row r="144" spans="1:2">
      <c r="A144" s="24" t="s">
        <v>129</v>
      </c>
      <c r="B144" s="25">
        <v>821.83</v>
      </c>
    </row>
    <row r="145" spans="1:2">
      <c r="A145" s="24" t="s">
        <v>143</v>
      </c>
      <c r="B145" s="25">
        <v>660.72</v>
      </c>
    </row>
    <row r="146" spans="1:2">
      <c r="A146" s="24" t="s">
        <v>454</v>
      </c>
      <c r="B146" s="25">
        <v>629.11</v>
      </c>
    </row>
    <row r="147" spans="1:2">
      <c r="A147" s="24" t="s">
        <v>273</v>
      </c>
      <c r="B147" s="25">
        <v>462.19</v>
      </c>
    </row>
    <row r="148" spans="1:2">
      <c r="A148" s="24" t="s">
        <v>48</v>
      </c>
      <c r="B148" s="25">
        <v>579.12</v>
      </c>
    </row>
    <row r="149" spans="1:2">
      <c r="A149" s="24" t="s">
        <v>222</v>
      </c>
      <c r="B149" s="25">
        <v>815.17</v>
      </c>
    </row>
    <row r="150" spans="1:2">
      <c r="A150" s="24" t="s">
        <v>70</v>
      </c>
      <c r="B150" s="25">
        <v>400.89</v>
      </c>
    </row>
    <row r="151" spans="1:2">
      <c r="A151" s="24" t="s">
        <v>254</v>
      </c>
      <c r="B151" s="25">
        <v>690.59</v>
      </c>
    </row>
    <row r="152" spans="1:2">
      <c r="A152" s="24" t="s">
        <v>55</v>
      </c>
      <c r="B152" s="25">
        <v>615.67999999999995</v>
      </c>
    </row>
    <row r="153" spans="1:2">
      <c r="A153" s="24" t="s">
        <v>97</v>
      </c>
      <c r="B153" s="25">
        <v>1064</v>
      </c>
    </row>
    <row r="154" spans="1:2">
      <c r="A154" s="24" t="s">
        <v>248</v>
      </c>
      <c r="B154" s="25">
        <v>670</v>
      </c>
    </row>
    <row r="155" spans="1:2">
      <c r="A155" s="24" t="s">
        <v>269</v>
      </c>
      <c r="B155" s="25">
        <v>818.84</v>
      </c>
    </row>
    <row r="156" spans="1:2">
      <c r="A156" s="24" t="s">
        <v>138</v>
      </c>
      <c r="B156" s="25">
        <v>368.19</v>
      </c>
    </row>
    <row r="157" spans="1:2">
      <c r="A157" s="24" t="s">
        <v>260</v>
      </c>
      <c r="B157" s="25">
        <v>598.54999999999995</v>
      </c>
    </row>
    <row r="158" spans="1:2">
      <c r="A158" s="24" t="s">
        <v>515</v>
      </c>
      <c r="B158" s="25">
        <v>855.13</v>
      </c>
    </row>
    <row r="159" spans="1:2">
      <c r="A159" s="24" t="s">
        <v>227</v>
      </c>
      <c r="B159" s="25">
        <v>770</v>
      </c>
    </row>
    <row r="160" spans="1:2">
      <c r="A160" s="24" t="s">
        <v>98</v>
      </c>
      <c r="B160" s="25">
        <v>637.97</v>
      </c>
    </row>
    <row r="161" spans="1:2">
      <c r="A161" s="24" t="s">
        <v>101</v>
      </c>
      <c r="B161" s="25">
        <v>356.5</v>
      </c>
    </row>
    <row r="162" spans="1:2">
      <c r="A162" s="24" t="s">
        <v>284</v>
      </c>
      <c r="B162" s="25">
        <v>651</v>
      </c>
    </row>
    <row r="163" spans="1:2">
      <c r="A163" s="24" t="s">
        <v>217</v>
      </c>
      <c r="B163" s="25">
        <v>1512.75</v>
      </c>
    </row>
    <row r="164" spans="1:2">
      <c r="A164" s="24" t="s">
        <v>211</v>
      </c>
      <c r="B164" s="25">
        <v>510</v>
      </c>
    </row>
    <row r="165" spans="1:2">
      <c r="A165" s="24" t="s">
        <v>81</v>
      </c>
      <c r="B165" s="25">
        <v>848.77</v>
      </c>
    </row>
    <row r="166" spans="1:2">
      <c r="A166" s="24" t="s">
        <v>105</v>
      </c>
      <c r="B166" s="25">
        <v>1091.47</v>
      </c>
    </row>
    <row r="167" spans="1:2">
      <c r="A167" s="24" t="s">
        <v>290</v>
      </c>
      <c r="B167" s="25">
        <v>584.25</v>
      </c>
    </row>
    <row r="168" spans="1:2">
      <c r="A168" s="24" t="s">
        <v>516</v>
      </c>
      <c r="B168" s="25">
        <v>443.91</v>
      </c>
    </row>
    <row r="169" spans="1:2">
      <c r="A169" s="24" t="s">
        <v>121</v>
      </c>
      <c r="B169" s="25">
        <v>240</v>
      </c>
    </row>
    <row r="170" spans="1:2">
      <c r="A170" s="24" t="s">
        <v>206</v>
      </c>
      <c r="B170" s="25">
        <v>170.69</v>
      </c>
    </row>
    <row r="171" spans="1:2">
      <c r="A171" s="24" t="s">
        <v>117</v>
      </c>
      <c r="B171" s="25">
        <v>811.1</v>
      </c>
    </row>
    <row r="172" spans="1:2">
      <c r="A172" s="24" t="s">
        <v>195</v>
      </c>
      <c r="B172" s="25">
        <v>545.17999999999995</v>
      </c>
    </row>
    <row r="173" spans="1:2">
      <c r="A173" s="24" t="s">
        <v>35</v>
      </c>
      <c r="B173" s="25">
        <v>721.92</v>
      </c>
    </row>
    <row r="174" spans="1:2">
      <c r="A174" s="24" t="s">
        <v>517</v>
      </c>
      <c r="B174" s="25">
        <v>557.91</v>
      </c>
    </row>
    <row r="175" spans="1:2">
      <c r="A175" s="24" t="s">
        <v>219</v>
      </c>
      <c r="B175" s="25">
        <v>924.09</v>
      </c>
    </row>
    <row r="176" spans="1:2">
      <c r="A176" s="24" t="s">
        <v>230</v>
      </c>
      <c r="B176" s="25">
        <v>244.8</v>
      </c>
    </row>
    <row r="177" spans="1:2">
      <c r="A177" s="24" t="s">
        <v>213</v>
      </c>
      <c r="B177" s="25">
        <v>805.5</v>
      </c>
    </row>
    <row r="178" spans="1:2">
      <c r="A178" s="24" t="s">
        <v>406</v>
      </c>
      <c r="B178" s="25">
        <v>210</v>
      </c>
    </row>
    <row r="179" spans="1:2">
      <c r="A179" s="24" t="s">
        <v>58</v>
      </c>
      <c r="B179" s="25">
        <v>397</v>
      </c>
    </row>
    <row r="180" spans="1:2">
      <c r="A180" s="24" t="s">
        <v>518</v>
      </c>
      <c r="B180" s="25">
        <v>1215.58</v>
      </c>
    </row>
    <row r="181" spans="1:2">
      <c r="A181" s="24" t="s">
        <v>42</v>
      </c>
      <c r="B181" s="25">
        <v>352</v>
      </c>
    </row>
    <row r="182" spans="1:2">
      <c r="A182" s="24" t="s">
        <v>276</v>
      </c>
      <c r="B182" s="25">
        <v>558.77</v>
      </c>
    </row>
    <row r="183" spans="1:2">
      <c r="A183" s="24" t="s">
        <v>519</v>
      </c>
      <c r="B183" s="25">
        <v>540</v>
      </c>
    </row>
    <row r="184" spans="1:2">
      <c r="A184" s="24" t="s">
        <v>253</v>
      </c>
      <c r="B184" s="25">
        <v>417.12</v>
      </c>
    </row>
    <row r="185" spans="1:2">
      <c r="A185" s="24" t="s">
        <v>520</v>
      </c>
      <c r="B185" s="25">
        <v>884</v>
      </c>
    </row>
    <row r="186" spans="1:2">
      <c r="A186" s="24" t="s">
        <v>114</v>
      </c>
      <c r="B186" s="25">
        <v>700</v>
      </c>
    </row>
    <row r="187" spans="1:2">
      <c r="A187" s="24" t="s">
        <v>50</v>
      </c>
      <c r="B187" s="25">
        <v>860.24</v>
      </c>
    </row>
    <row r="188" spans="1:2">
      <c r="A188" s="24" t="s">
        <v>320</v>
      </c>
      <c r="B188" s="28">
        <v>754.65</v>
      </c>
    </row>
    <row r="189" spans="1:2">
      <c r="A189" s="24" t="s">
        <v>521</v>
      </c>
      <c r="B189" s="25">
        <v>551</v>
      </c>
    </row>
    <row r="190" spans="1:2">
      <c r="A190" s="24" t="s">
        <v>134</v>
      </c>
      <c r="B190" s="25">
        <v>430.91</v>
      </c>
    </row>
    <row r="191" spans="1:2">
      <c r="A191" s="24" t="s">
        <v>185</v>
      </c>
      <c r="B191" s="25">
        <v>1000</v>
      </c>
    </row>
    <row r="192" spans="1:2">
      <c r="A192" s="24" t="s">
        <v>191</v>
      </c>
      <c r="B192" s="25">
        <v>716.72</v>
      </c>
    </row>
    <row r="193" spans="1:2">
      <c r="A193" s="24" t="s">
        <v>161</v>
      </c>
      <c r="B193" s="25">
        <v>532.98</v>
      </c>
    </row>
    <row r="194" spans="1:2">
      <c r="A194" s="24" t="s">
        <v>522</v>
      </c>
      <c r="B194" s="25">
        <v>988.07</v>
      </c>
    </row>
    <row r="195" spans="1:2">
      <c r="A195" s="24" t="s">
        <v>32</v>
      </c>
      <c r="B195" s="25">
        <v>571</v>
      </c>
    </row>
    <row r="196" spans="1:2">
      <c r="A196" s="24" t="s">
        <v>237</v>
      </c>
      <c r="B196" s="25">
        <v>138</v>
      </c>
    </row>
    <row r="197" spans="1:2">
      <c r="A197" s="24" t="s">
        <v>226</v>
      </c>
      <c r="B197" s="25">
        <v>1086</v>
      </c>
    </row>
    <row r="198" spans="1:2">
      <c r="A198" s="24" t="s">
        <v>221</v>
      </c>
      <c r="B198" s="25">
        <v>443.24</v>
      </c>
    </row>
    <row r="199" spans="1:2">
      <c r="A199" s="24" t="s">
        <v>255</v>
      </c>
      <c r="B199" s="25">
        <v>551</v>
      </c>
    </row>
    <row r="200" spans="1:2">
      <c r="A200" s="24" t="s">
        <v>267</v>
      </c>
      <c r="B200" s="25">
        <v>595</v>
      </c>
    </row>
    <row r="201" spans="1:2">
      <c r="A201" s="24" t="s">
        <v>59</v>
      </c>
      <c r="B201" s="25">
        <v>1013.55</v>
      </c>
    </row>
    <row r="202" spans="1:2">
      <c r="A202" s="24" t="s">
        <v>76</v>
      </c>
      <c r="B202" s="25">
        <v>2075</v>
      </c>
    </row>
    <row r="203" spans="1:2">
      <c r="A203" s="24" t="s">
        <v>68</v>
      </c>
      <c r="B203" s="25">
        <v>702</v>
      </c>
    </row>
    <row r="204" spans="1:2">
      <c r="A204" s="24" t="s">
        <v>523</v>
      </c>
      <c r="B204" s="25">
        <v>683.6</v>
      </c>
    </row>
    <row r="205" spans="1:2">
      <c r="A205" s="24" t="s">
        <v>113</v>
      </c>
      <c r="B205" s="25">
        <v>754</v>
      </c>
    </row>
    <row r="206" spans="1:2">
      <c r="A206" s="24" t="s">
        <v>289</v>
      </c>
      <c r="B206" s="25">
        <v>2535.54</v>
      </c>
    </row>
    <row r="207" spans="1:2">
      <c r="A207" s="24" t="s">
        <v>283</v>
      </c>
      <c r="B207" s="25">
        <v>890</v>
      </c>
    </row>
    <row r="208" spans="1:2">
      <c r="A208" s="24" t="s">
        <v>147</v>
      </c>
      <c r="B208" s="25">
        <v>742.43</v>
      </c>
    </row>
    <row r="209" spans="1:2">
      <c r="A209" s="24" t="s">
        <v>125</v>
      </c>
      <c r="B209" s="25">
        <v>765</v>
      </c>
    </row>
    <row r="210" spans="1:2">
      <c r="A210" s="24" t="s">
        <v>262</v>
      </c>
      <c r="B210" s="25">
        <v>1520</v>
      </c>
    </row>
    <row r="211" spans="1:2">
      <c r="A211" s="24" t="s">
        <v>242</v>
      </c>
      <c r="B211" s="25">
        <v>1000</v>
      </c>
    </row>
    <row r="212" spans="1:2">
      <c r="A212" s="24" t="s">
        <v>181</v>
      </c>
      <c r="B212" s="25">
        <v>718.61</v>
      </c>
    </row>
    <row r="213" spans="1:2">
      <c r="A213" s="24" t="s">
        <v>231</v>
      </c>
      <c r="B213" s="25">
        <v>679.32</v>
      </c>
    </row>
    <row r="214" spans="1:2">
      <c r="A214" s="24" t="s">
        <v>56</v>
      </c>
      <c r="B214" s="25">
        <v>722.25</v>
      </c>
    </row>
    <row r="215" spans="1:2">
      <c r="A215" s="24" t="s">
        <v>280</v>
      </c>
      <c r="B215" s="25">
        <v>175</v>
      </c>
    </row>
    <row r="216" spans="1:2">
      <c r="A216" s="24" t="s">
        <v>278</v>
      </c>
      <c r="B216" s="25">
        <v>608.41</v>
      </c>
    </row>
    <row r="217" spans="1:2">
      <c r="A217" s="24" t="s">
        <v>524</v>
      </c>
      <c r="B217" s="25">
        <v>895.5</v>
      </c>
    </row>
    <row r="218" spans="1:2">
      <c r="A218" s="24" t="s">
        <v>264</v>
      </c>
      <c r="B218" s="25">
        <v>700.27</v>
      </c>
    </row>
    <row r="219" spans="1:2">
      <c r="A219" s="24" t="s">
        <v>525</v>
      </c>
      <c r="B219" s="25">
        <v>841</v>
      </c>
    </row>
    <row r="220" spans="1:2">
      <c r="A220" s="24" t="s">
        <v>526</v>
      </c>
      <c r="B220" s="25">
        <v>527.86</v>
      </c>
    </row>
    <row r="221" spans="1:2">
      <c r="A221" s="24" t="s">
        <v>527</v>
      </c>
      <c r="B221" s="25">
        <v>420</v>
      </c>
    </row>
    <row r="222" spans="1:2">
      <c r="A222" s="24" t="s">
        <v>208</v>
      </c>
      <c r="B222" s="25">
        <v>779.41</v>
      </c>
    </row>
    <row r="223" spans="1:2">
      <c r="A223" s="24" t="s">
        <v>178</v>
      </c>
      <c r="B223" s="25">
        <v>783.5</v>
      </c>
    </row>
    <row r="224" spans="1:2">
      <c r="A224" s="24" t="s">
        <v>160</v>
      </c>
      <c r="B224" s="25">
        <v>980</v>
      </c>
    </row>
    <row r="225" spans="1:2">
      <c r="A225" s="24" t="s">
        <v>92</v>
      </c>
      <c r="B225" s="25">
        <v>373</v>
      </c>
    </row>
    <row r="226" spans="1:2">
      <c r="A226" s="24" t="s">
        <v>132</v>
      </c>
      <c r="B226" s="25">
        <v>695.07</v>
      </c>
    </row>
    <row r="227" spans="1:2">
      <c r="A227" s="24" t="s">
        <v>292</v>
      </c>
      <c r="B227" s="25">
        <v>543</v>
      </c>
    </row>
    <row r="228" spans="1:2">
      <c r="A228" s="24" t="s">
        <v>171</v>
      </c>
      <c r="B228" s="25">
        <v>720</v>
      </c>
    </row>
    <row r="229" spans="1:2">
      <c r="A229" s="24" t="s">
        <v>156</v>
      </c>
      <c r="B229" s="25">
        <v>770</v>
      </c>
    </row>
    <row r="230" spans="1:2">
      <c r="A230" s="24" t="s">
        <v>528</v>
      </c>
      <c r="B230" s="25">
        <v>671.72</v>
      </c>
    </row>
    <row r="231" spans="1:2">
      <c r="A231" s="24" t="s">
        <v>201</v>
      </c>
      <c r="B231" s="25">
        <v>300</v>
      </c>
    </row>
    <row r="232" spans="1:2">
      <c r="A232" s="24" t="s">
        <v>220</v>
      </c>
      <c r="B232" s="25">
        <v>560</v>
      </c>
    </row>
    <row r="233" spans="1:2">
      <c r="A233" s="24" t="s">
        <v>54</v>
      </c>
      <c r="B233" s="25">
        <v>627.37</v>
      </c>
    </row>
    <row r="234" spans="1:2">
      <c r="A234" s="24" t="s">
        <v>292</v>
      </c>
      <c r="B234" s="25">
        <v>501</v>
      </c>
    </row>
    <row r="235" spans="1:2">
      <c r="A235" s="24" t="s">
        <v>529</v>
      </c>
      <c r="B235" s="25">
        <v>429.13</v>
      </c>
    </row>
    <row r="236" spans="1:2">
      <c r="A236" s="24" t="s">
        <v>45</v>
      </c>
      <c r="B236" s="25">
        <v>640</v>
      </c>
    </row>
    <row r="237" spans="1:2">
      <c r="A237" s="26" t="s">
        <v>530</v>
      </c>
      <c r="B237" s="27">
        <v>1154</v>
      </c>
    </row>
    <row r="238" spans="1:2">
      <c r="A238" s="24" t="s">
        <v>104</v>
      </c>
      <c r="B238" s="25">
        <v>881.38</v>
      </c>
    </row>
    <row r="239" spans="1:2">
      <c r="A239" s="24" t="s">
        <v>173</v>
      </c>
      <c r="B239" s="25">
        <v>500</v>
      </c>
    </row>
    <row r="240" spans="1:2">
      <c r="A240" s="24" t="s">
        <v>109</v>
      </c>
      <c r="B240" s="25">
        <v>766</v>
      </c>
    </row>
    <row r="241" spans="1:2">
      <c r="A241" s="24" t="s">
        <v>167</v>
      </c>
      <c r="B241" s="25">
        <v>750</v>
      </c>
    </row>
    <row r="242" spans="1:2">
      <c r="A242" s="24" t="s">
        <v>89</v>
      </c>
      <c r="B242" s="25">
        <v>530</v>
      </c>
    </row>
    <row r="243" spans="1:2">
      <c r="A243" s="24" t="s">
        <v>142</v>
      </c>
      <c r="B243" s="25">
        <v>525</v>
      </c>
    </row>
    <row r="244" spans="1:2">
      <c r="A244" s="24" t="s">
        <v>200</v>
      </c>
      <c r="B244" s="25">
        <v>878</v>
      </c>
    </row>
    <row r="245" spans="1:2">
      <c r="A245" s="24" t="s">
        <v>182</v>
      </c>
      <c r="B245" s="25">
        <v>561.98</v>
      </c>
    </row>
    <row r="246" spans="1:2">
      <c r="A246" s="24" t="s">
        <v>531</v>
      </c>
      <c r="B246" s="25">
        <v>290</v>
      </c>
    </row>
    <row r="247" spans="1:2">
      <c r="A247" s="24" t="s">
        <v>207</v>
      </c>
      <c r="B247" s="25">
        <v>516.39</v>
      </c>
    </row>
    <row r="248" spans="1:2">
      <c r="A248" s="24" t="s">
        <v>532</v>
      </c>
      <c r="B248" s="25">
        <v>484.47</v>
      </c>
    </row>
    <row r="249" spans="1:2">
      <c r="A249" s="24" t="s">
        <v>71</v>
      </c>
      <c r="B249" s="25">
        <v>957</v>
      </c>
    </row>
    <row r="250" spans="1:2">
      <c r="A250" s="24" t="s">
        <v>162</v>
      </c>
      <c r="B250" s="25">
        <v>814.53</v>
      </c>
    </row>
    <row r="251" spans="1:2">
      <c r="A251" s="24" t="s">
        <v>107</v>
      </c>
      <c r="B251" s="25">
        <v>540</v>
      </c>
    </row>
    <row r="252" spans="1:2">
      <c r="A252" s="24" t="s">
        <v>84</v>
      </c>
      <c r="B252" s="25">
        <v>1060</v>
      </c>
    </row>
    <row r="253" spans="1:2">
      <c r="A253" s="24" t="s">
        <v>533</v>
      </c>
      <c r="B253" s="25">
        <v>915</v>
      </c>
    </row>
    <row r="254" spans="1:2">
      <c r="A254" s="24" t="s">
        <v>83</v>
      </c>
      <c r="B254" s="25">
        <v>615.66</v>
      </c>
    </row>
    <row r="255" spans="1:2">
      <c r="A255" s="24" t="s">
        <v>214</v>
      </c>
      <c r="B255" s="25">
        <v>230</v>
      </c>
    </row>
    <row r="256" spans="1:2">
      <c r="A256" s="24" t="s">
        <v>291</v>
      </c>
      <c r="B256" s="25">
        <v>403</v>
      </c>
    </row>
    <row r="257" spans="1:2">
      <c r="A257" s="24" t="s">
        <v>119</v>
      </c>
      <c r="B257" s="25">
        <v>603.12</v>
      </c>
    </row>
    <row r="258" spans="1:2">
      <c r="A258" s="24" t="s">
        <v>534</v>
      </c>
      <c r="B258" s="25">
        <v>622</v>
      </c>
    </row>
    <row r="259" spans="1:2">
      <c r="A259" s="24" t="s">
        <v>103</v>
      </c>
      <c r="B259" s="25">
        <v>2543.61</v>
      </c>
    </row>
    <row r="260" spans="1:2">
      <c r="A260" s="24" t="s">
        <v>535</v>
      </c>
      <c r="B260" s="25">
        <v>698</v>
      </c>
    </row>
    <row r="261" spans="1:2">
      <c r="A261" s="24" t="s">
        <v>141</v>
      </c>
      <c r="B261" s="25">
        <v>509.06</v>
      </c>
    </row>
    <row r="262" spans="1:2">
      <c r="A262" s="24" t="s">
        <v>236</v>
      </c>
      <c r="B262" s="25">
        <v>571.61</v>
      </c>
    </row>
    <row r="263" spans="1:2">
      <c r="A263" s="24" t="s">
        <v>95</v>
      </c>
      <c r="B263" s="25">
        <v>734</v>
      </c>
    </row>
    <row r="264" spans="1:2">
      <c r="A264" s="24" t="s">
        <v>127</v>
      </c>
      <c r="B264" s="25">
        <v>712.41</v>
      </c>
    </row>
    <row r="265" spans="1:2">
      <c r="A265" s="24" t="s">
        <v>65</v>
      </c>
      <c r="B265" s="25">
        <v>1969.5</v>
      </c>
    </row>
    <row r="266" spans="1:2">
      <c r="A266" s="24" t="s">
        <v>186</v>
      </c>
      <c r="B266" s="25">
        <v>833</v>
      </c>
    </row>
    <row r="267" spans="1:2">
      <c r="A267" s="24" t="s">
        <v>536</v>
      </c>
      <c r="B267" s="25">
        <v>540</v>
      </c>
    </row>
    <row r="268" spans="1:2">
      <c r="A268" s="24" t="s">
        <v>244</v>
      </c>
      <c r="B268" s="25">
        <v>620</v>
      </c>
    </row>
    <row r="269" spans="1:2">
      <c r="A269" s="24" t="s">
        <v>128</v>
      </c>
      <c r="B269" s="25">
        <v>741.5</v>
      </c>
    </row>
    <row r="270" spans="1:2">
      <c r="A270" s="24" t="s">
        <v>25</v>
      </c>
      <c r="B270" s="25">
        <v>640.41999999999996</v>
      </c>
    </row>
    <row r="271" spans="1:2">
      <c r="A271" s="24" t="s">
        <v>47</v>
      </c>
      <c r="B271" s="25">
        <v>2915.29</v>
      </c>
    </row>
    <row r="272" spans="1:2">
      <c r="A272" s="24" t="s">
        <v>537</v>
      </c>
      <c r="B272" s="25">
        <v>325.70999999999998</v>
      </c>
    </row>
    <row r="273" spans="1:2">
      <c r="A273" s="24" t="s">
        <v>538</v>
      </c>
      <c r="B273" s="25">
        <v>895</v>
      </c>
    </row>
    <row r="274" spans="1:2">
      <c r="A274" s="26" t="s">
        <v>539</v>
      </c>
      <c r="B274" s="27">
        <v>1565.82</v>
      </c>
    </row>
    <row r="275" spans="1:2">
      <c r="A275" s="24" t="s">
        <v>288</v>
      </c>
      <c r="B275" s="25">
        <v>611.61</v>
      </c>
    </row>
    <row r="276" spans="1:2">
      <c r="A276" s="24" t="s">
        <v>271</v>
      </c>
      <c r="B276" s="25">
        <v>1159.99</v>
      </c>
    </row>
    <row r="277" spans="1:2">
      <c r="A277" s="24" t="s">
        <v>203</v>
      </c>
      <c r="B277" s="25">
        <v>520.72</v>
      </c>
    </row>
    <row r="278" spans="1:2">
      <c r="A278" s="24" t="s">
        <v>259</v>
      </c>
      <c r="B278" s="25">
        <v>1150</v>
      </c>
    </row>
    <row r="279" spans="1:2">
      <c r="A279" s="24" t="s">
        <v>234</v>
      </c>
      <c r="B279" s="25">
        <v>180</v>
      </c>
    </row>
    <row r="280" spans="1:2">
      <c r="A280" s="24" t="s">
        <v>540</v>
      </c>
      <c r="B280" s="25">
        <v>202.24</v>
      </c>
    </row>
    <row r="281" spans="1:2">
      <c r="A281" s="24" t="s">
        <v>541</v>
      </c>
      <c r="B281" s="29" t="s">
        <v>542</v>
      </c>
    </row>
    <row r="282" spans="1:2">
      <c r="A282" s="24" t="s">
        <v>246</v>
      </c>
      <c r="B282" s="29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Round 1 Decision for Analysis</vt:lpstr>
      <vt:lpstr>Attendance</vt:lpstr>
      <vt:lpstr>Round 3 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Antelope New</dc:creator>
  <cp:lastModifiedBy>Antelope New</cp:lastModifiedBy>
  <dcterms:created xsi:type="dcterms:W3CDTF">2025-12-23T22:35:11Z</dcterms:created>
  <dcterms:modified xsi:type="dcterms:W3CDTF">2025-12-24T00:47:16Z</dcterms:modified>
</cp:coreProperties>
</file>